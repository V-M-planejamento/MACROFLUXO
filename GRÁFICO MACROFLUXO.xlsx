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a e Moura\Desktop\"/>
    </mc:Choice>
  </mc:AlternateContent>
  <xr:revisionPtr revIDLastSave="0" documentId="13_ncr:1_{6C96E44B-4602-4F4D-8FBE-43E3A80EA855}" xr6:coauthVersionLast="47" xr6:coauthVersionMax="47" xr10:uidLastSave="{00000000-0000-0000-0000-000000000000}"/>
  <bookViews>
    <workbookView xWindow="-108" yWindow="-108" windowWidth="23256" windowHeight="12456" xr2:uid="{2E39DB65-6BE0-4E1A-A3C6-14407525FA5B}"/>
  </bookViews>
  <sheets>
    <sheet name="GER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28" i="1" l="1"/>
  <c r="DJ27" i="1"/>
  <c r="DG27" i="1"/>
  <c r="DH27" i="1" s="1"/>
  <c r="CL27" i="1"/>
  <c r="CK27" i="1"/>
  <c r="CJ27" i="1"/>
  <c r="CG27" i="1" s="1"/>
  <c r="CH27" i="1"/>
  <c r="CF27" i="1" s="1"/>
  <c r="CC27" i="1" s="1"/>
  <c r="BZ27" i="1"/>
  <c r="BX27" i="1" s="1"/>
  <c r="BY27" i="1"/>
  <c r="BM27" i="1"/>
  <c r="BL27" i="1" s="1"/>
  <c r="BI27" i="1" s="1"/>
  <c r="BH27" i="1" s="1"/>
  <c r="Q27" i="1"/>
  <c r="O27" i="1" s="1"/>
  <c r="P27" i="1"/>
  <c r="L27" i="1"/>
  <c r="G27" i="1"/>
  <c r="F27" i="1"/>
  <c r="DJ26" i="1"/>
  <c r="DG26" i="1"/>
  <c r="CL26" i="1"/>
  <c r="CK26" i="1"/>
  <c r="CJ26" i="1"/>
  <c r="CG26" i="1" s="1"/>
  <c r="CH26" i="1"/>
  <c r="BZ26" i="1"/>
  <c r="BX26" i="1" s="1"/>
  <c r="AW26" i="1" s="1"/>
  <c r="AV26" i="1" s="1"/>
  <c r="AR26" i="1" s="1"/>
  <c r="AQ26" i="1" s="1"/>
  <c r="AF26" i="1" s="1"/>
  <c r="AE26" i="1" s="1"/>
  <c r="BY26" i="1"/>
  <c r="Q26" i="1"/>
  <c r="O26" i="1" s="1"/>
  <c r="P26" i="1"/>
  <c r="N26" i="1" s="1"/>
  <c r="K26" i="1" s="1"/>
  <c r="J26" i="1" s="1"/>
  <c r="L26" i="1"/>
  <c r="G26" i="1"/>
  <c r="F26" i="1" s="1"/>
  <c r="DJ25" i="1"/>
  <c r="DG25" i="1"/>
  <c r="DH25" i="1" s="1"/>
  <c r="DC25" i="1"/>
  <c r="CL25" i="1"/>
  <c r="CK25" i="1"/>
  <c r="CJ25" i="1" s="1"/>
  <c r="CG25" i="1" s="1"/>
  <c r="CF25" i="1" s="1"/>
  <c r="CC25" i="1" s="1"/>
  <c r="AI25" i="1" s="1"/>
  <c r="AJ25" i="1" s="1"/>
  <c r="AZ25" i="1" s="1"/>
  <c r="BA25" i="1" s="1"/>
  <c r="BD25" i="1" s="1"/>
  <c r="BE25" i="1" s="1"/>
  <c r="CH25" i="1"/>
  <c r="BZ25" i="1"/>
  <c r="BY25" i="1"/>
  <c r="Q25" i="1"/>
  <c r="O25" i="1" s="1"/>
  <c r="P25" i="1"/>
  <c r="L25" i="1"/>
  <c r="G25" i="1"/>
  <c r="F25" i="1" s="1"/>
  <c r="DJ24" i="1"/>
  <c r="DG24" i="1"/>
  <c r="DH24" i="1" s="1"/>
  <c r="CL24" i="1"/>
  <c r="CK24" i="1"/>
  <c r="CJ24" i="1" s="1"/>
  <c r="CG24" i="1" s="1"/>
  <c r="CF24" i="1" s="1"/>
  <c r="CC24" i="1" s="1"/>
  <c r="CB24" i="1" s="1"/>
  <c r="S24" i="1" s="1"/>
  <c r="T24" i="1" s="1"/>
  <c r="W24" i="1" s="1"/>
  <c r="X24" i="1" s="1"/>
  <c r="AA24" i="1" s="1"/>
  <c r="AB24" i="1" s="1"/>
  <c r="CH24" i="1"/>
  <c r="BZ24" i="1"/>
  <c r="BY24" i="1"/>
  <c r="BX24" i="1"/>
  <c r="BU24" i="1"/>
  <c r="BT24" i="1"/>
  <c r="BQ24" i="1" s="1"/>
  <c r="BP24" i="1" s="1"/>
  <c r="BM24" i="1"/>
  <c r="BL24" i="1"/>
  <c r="BI24" i="1"/>
  <c r="BH24" i="1" s="1"/>
  <c r="AW24" i="1"/>
  <c r="AV24" i="1" s="1"/>
  <c r="AR24" i="1" s="1"/>
  <c r="AQ24" i="1" s="1"/>
  <c r="AF24" i="1" s="1"/>
  <c r="AE24" i="1" s="1"/>
  <c r="AI24" i="1"/>
  <c r="AJ24" i="1" s="1"/>
  <c r="AZ24" i="1" s="1"/>
  <c r="BA24" i="1" s="1"/>
  <c r="BD24" i="1" s="1"/>
  <c r="BE24" i="1" s="1"/>
  <c r="Q24" i="1"/>
  <c r="O24" i="1" s="1"/>
  <c r="N24" i="1" s="1"/>
  <c r="P24" i="1"/>
  <c r="L24" i="1"/>
  <c r="J24" i="1" s="1"/>
  <c r="K24" i="1"/>
  <c r="G24" i="1"/>
  <c r="F24" i="1" s="1"/>
  <c r="DJ23" i="1"/>
  <c r="DH23" i="1"/>
  <c r="DG23" i="1"/>
  <c r="DC23" i="1" s="1"/>
  <c r="CL23" i="1"/>
  <c r="CK23" i="1"/>
  <c r="CH23" i="1"/>
  <c r="BZ23" i="1"/>
  <c r="BY23" i="1"/>
  <c r="BX23" i="1"/>
  <c r="BU23" i="1" s="1"/>
  <c r="BT23" i="1" s="1"/>
  <c r="BQ23" i="1" s="1"/>
  <c r="BP23" i="1" s="1"/>
  <c r="AW23" i="1"/>
  <c r="AV23" i="1" s="1"/>
  <c r="AR23" i="1" s="1"/>
  <c r="AQ23" i="1" s="1"/>
  <c r="AF23" i="1" s="1"/>
  <c r="AE23" i="1" s="1"/>
  <c r="Q23" i="1"/>
  <c r="O23" i="1" s="1"/>
  <c r="N23" i="1" s="1"/>
  <c r="K23" i="1" s="1"/>
  <c r="P23" i="1"/>
  <c r="L23" i="1"/>
  <c r="G23" i="1"/>
  <c r="F23" i="1"/>
  <c r="DJ22" i="1"/>
  <c r="DH22" i="1"/>
  <c r="DG22" i="1"/>
  <c r="DC22" i="1" s="1"/>
  <c r="CY22" i="1" s="1"/>
  <c r="DD22" i="1"/>
  <c r="CL22" i="1"/>
  <c r="CJ22" i="1" s="1"/>
  <c r="CG22" i="1" s="1"/>
  <c r="CF22" i="1" s="1"/>
  <c r="CK22" i="1"/>
  <c r="CH22" i="1"/>
  <c r="CC22" i="1"/>
  <c r="BZ22" i="1"/>
  <c r="BX22" i="1" s="1"/>
  <c r="BY22" i="1"/>
  <c r="BU22" i="1"/>
  <c r="BT22" i="1" s="1"/>
  <c r="BQ22" i="1" s="1"/>
  <c r="BP22" i="1" s="1"/>
  <c r="Q22" i="1"/>
  <c r="O22" i="1" s="1"/>
  <c r="P22" i="1"/>
  <c r="N22" i="1" s="1"/>
  <c r="K22" i="1" s="1"/>
  <c r="L22" i="1"/>
  <c r="J22" i="1" s="1"/>
  <c r="G22" i="1"/>
  <c r="F22" i="1"/>
  <c r="DJ21" i="1"/>
  <c r="DH21" i="1"/>
  <c r="DG21" i="1"/>
  <c r="DC21" i="1"/>
  <c r="DD21" i="1" s="1"/>
  <c r="CY21" i="1"/>
  <c r="CZ21" i="1" s="1"/>
  <c r="CU21" i="1"/>
  <c r="CL21" i="1"/>
  <c r="CJ21" i="1" s="1"/>
  <c r="CG21" i="1" s="1"/>
  <c r="CK21" i="1"/>
  <c r="CH21" i="1"/>
  <c r="BZ21" i="1"/>
  <c r="BY21" i="1"/>
  <c r="BX21" i="1"/>
  <c r="AW21" i="1" s="1"/>
  <c r="AV21" i="1" s="1"/>
  <c r="AR21" i="1" s="1"/>
  <c r="AQ21" i="1" s="1"/>
  <c r="AF21" i="1" s="1"/>
  <c r="AE21" i="1" s="1"/>
  <c r="BU21" i="1"/>
  <c r="BT21" i="1" s="1"/>
  <c r="BQ21" i="1"/>
  <c r="BP21" i="1" s="1"/>
  <c r="Q21" i="1"/>
  <c r="P21" i="1"/>
  <c r="O21" i="1"/>
  <c r="N21" i="1"/>
  <c r="K21" i="1" s="1"/>
  <c r="L21" i="1"/>
  <c r="J21" i="1" s="1"/>
  <c r="G21" i="1"/>
  <c r="F21" i="1"/>
  <c r="DJ20" i="1"/>
  <c r="DH20" i="1"/>
  <c r="DG20" i="1"/>
  <c r="DC20" i="1" s="1"/>
  <c r="CL20" i="1"/>
  <c r="CJ20" i="1" s="1"/>
  <c r="CG20" i="1" s="1"/>
  <c r="CF20" i="1" s="1"/>
  <c r="CC20" i="1" s="1"/>
  <c r="CK20" i="1"/>
  <c r="CH20" i="1"/>
  <c r="BZ20" i="1"/>
  <c r="BX20" i="1" s="1"/>
  <c r="BY20" i="1"/>
  <c r="Q20" i="1"/>
  <c r="O20" i="1" s="1"/>
  <c r="P20" i="1"/>
  <c r="L20" i="1"/>
  <c r="G20" i="1"/>
  <c r="F20" i="1"/>
  <c r="DJ19" i="1"/>
  <c r="DG19" i="1"/>
  <c r="CL19" i="1"/>
  <c r="CJ19" i="1" s="1"/>
  <c r="CG19" i="1" s="1"/>
  <c r="CF19" i="1" s="1"/>
  <c r="CC19" i="1" s="1"/>
  <c r="CK19" i="1"/>
  <c r="CH19" i="1"/>
  <c r="BZ19" i="1"/>
  <c r="BY19" i="1"/>
  <c r="BX19" i="1"/>
  <c r="AW19" i="1" s="1"/>
  <c r="AV19" i="1" s="1"/>
  <c r="AR19" i="1" s="1"/>
  <c r="AQ19" i="1" s="1"/>
  <c r="AF19" i="1" s="1"/>
  <c r="AE19" i="1" s="1"/>
  <c r="Q19" i="1"/>
  <c r="O19" i="1" s="1"/>
  <c r="P19" i="1"/>
  <c r="N19" i="1"/>
  <c r="K19" i="1" s="1"/>
  <c r="L19" i="1"/>
  <c r="J19" i="1" s="1"/>
  <c r="G19" i="1"/>
  <c r="F19" i="1" s="1"/>
  <c r="DJ18" i="1"/>
  <c r="DG18" i="1"/>
  <c r="DH18" i="1" s="1"/>
  <c r="DC18" i="1"/>
  <c r="CL18" i="1"/>
  <c r="CJ18" i="1" s="1"/>
  <c r="CG18" i="1" s="1"/>
  <c r="CF18" i="1" s="1"/>
  <c r="CC18" i="1" s="1"/>
  <c r="CK18" i="1"/>
  <c r="CH18" i="1"/>
  <c r="BZ18" i="1"/>
  <c r="BY18" i="1"/>
  <c r="BX18" i="1" s="1"/>
  <c r="Q18" i="1"/>
  <c r="P18" i="1"/>
  <c r="O18" i="1"/>
  <c r="N18" i="1" s="1"/>
  <c r="K18" i="1" s="1"/>
  <c r="L18" i="1"/>
  <c r="G18" i="1"/>
  <c r="F18" i="1"/>
  <c r="DJ17" i="1"/>
  <c r="DH17" i="1"/>
  <c r="DG17" i="1"/>
  <c r="DC17" i="1" s="1"/>
  <c r="CL17" i="1"/>
  <c r="CK17" i="1"/>
  <c r="CH17" i="1"/>
  <c r="BZ17" i="1"/>
  <c r="BY17" i="1"/>
  <c r="BX17" i="1"/>
  <c r="AW17" i="1" s="1"/>
  <c r="AV17" i="1" s="1"/>
  <c r="AR17" i="1" s="1"/>
  <c r="AQ17" i="1" s="1"/>
  <c r="AF17" i="1" s="1"/>
  <c r="AE17" i="1" s="1"/>
  <c r="BM17" i="1"/>
  <c r="BL17" i="1" s="1"/>
  <c r="BI17" i="1" s="1"/>
  <c r="BH17" i="1" s="1"/>
  <c r="Q17" i="1"/>
  <c r="O17" i="1" s="1"/>
  <c r="N17" i="1" s="1"/>
  <c r="K17" i="1" s="1"/>
  <c r="J17" i="1" s="1"/>
  <c r="P17" i="1"/>
  <c r="L17" i="1"/>
  <c r="G17" i="1"/>
  <c r="F17" i="1" s="1"/>
  <c r="DJ16" i="1"/>
  <c r="DH16" i="1"/>
  <c r="DG16" i="1"/>
  <c r="DC16" i="1"/>
  <c r="CL16" i="1"/>
  <c r="CK16" i="1"/>
  <c r="CJ16" i="1" s="1"/>
  <c r="CG16" i="1" s="1"/>
  <c r="CH16" i="1"/>
  <c r="BZ16" i="1"/>
  <c r="BY16" i="1"/>
  <c r="BX16" i="1" s="1"/>
  <c r="Q16" i="1"/>
  <c r="P16" i="1"/>
  <c r="O16" i="1"/>
  <c r="N16" i="1" s="1"/>
  <c r="K16" i="1" s="1"/>
  <c r="L16" i="1"/>
  <c r="G16" i="1"/>
  <c r="F16" i="1"/>
  <c r="DJ15" i="1"/>
  <c r="DH15" i="1"/>
  <c r="DG15" i="1"/>
  <c r="DC15" i="1"/>
  <c r="DD15" i="1" s="1"/>
  <c r="CY15" i="1"/>
  <c r="CL15" i="1"/>
  <c r="CJ15" i="1" s="1"/>
  <c r="CG15" i="1" s="1"/>
  <c r="CK15" i="1"/>
  <c r="CH15" i="1"/>
  <c r="CF15" i="1" s="1"/>
  <c r="CC15" i="1" s="1"/>
  <c r="CB15" i="1" s="1"/>
  <c r="S15" i="1" s="1"/>
  <c r="T15" i="1" s="1"/>
  <c r="W15" i="1" s="1"/>
  <c r="X15" i="1" s="1"/>
  <c r="AA15" i="1" s="1"/>
  <c r="AB15" i="1" s="1"/>
  <c r="BZ15" i="1"/>
  <c r="BX15" i="1" s="1"/>
  <c r="AW15" i="1" s="1"/>
  <c r="AV15" i="1" s="1"/>
  <c r="AR15" i="1" s="1"/>
  <c r="AQ15" i="1" s="1"/>
  <c r="AF15" i="1" s="1"/>
  <c r="AE15" i="1" s="1"/>
  <c r="BY15" i="1"/>
  <c r="Q15" i="1"/>
  <c r="P15" i="1"/>
  <c r="N15" i="1" s="1"/>
  <c r="K15" i="1" s="1"/>
  <c r="O15" i="1"/>
  <c r="L15" i="1"/>
  <c r="G15" i="1"/>
  <c r="F15" i="1"/>
  <c r="DJ14" i="1"/>
  <c r="DG14" i="1"/>
  <c r="DH14" i="1" s="1"/>
  <c r="DC14" i="1"/>
  <c r="DD14" i="1" s="1"/>
  <c r="CL14" i="1"/>
  <c r="CJ14" i="1" s="1"/>
  <c r="CK14" i="1"/>
  <c r="CH14" i="1"/>
  <c r="CF14" i="1" s="1"/>
  <c r="CC14" i="1" s="1"/>
  <c r="CB14" i="1" s="1"/>
  <c r="S14" i="1" s="1"/>
  <c r="T14" i="1" s="1"/>
  <c r="W14" i="1" s="1"/>
  <c r="X14" i="1" s="1"/>
  <c r="AA14" i="1" s="1"/>
  <c r="AB14" i="1" s="1"/>
  <c r="CG14" i="1"/>
  <c r="BZ14" i="1"/>
  <c r="BX14" i="1" s="1"/>
  <c r="BY14" i="1"/>
  <c r="Q14" i="1"/>
  <c r="P14" i="1"/>
  <c r="N14" i="1" s="1"/>
  <c r="K14" i="1" s="1"/>
  <c r="O14" i="1"/>
  <c r="L14" i="1"/>
  <c r="J14" i="1"/>
  <c r="G14" i="1"/>
  <c r="F14" i="1" s="1"/>
  <c r="DJ13" i="1"/>
  <c r="DG13" i="1"/>
  <c r="DH13" i="1" s="1"/>
  <c r="DC13" i="1"/>
  <c r="CY13" i="1" s="1"/>
  <c r="CL13" i="1"/>
  <c r="CK13" i="1"/>
  <c r="CJ13" i="1"/>
  <c r="CG13" i="1" s="1"/>
  <c r="CH13" i="1"/>
  <c r="CF13" i="1"/>
  <c r="CC13" i="1" s="1"/>
  <c r="BZ13" i="1"/>
  <c r="BX13" i="1" s="1"/>
  <c r="BY13" i="1"/>
  <c r="Q13" i="1"/>
  <c r="P13" i="1"/>
  <c r="O13" i="1"/>
  <c r="L13" i="1"/>
  <c r="G13" i="1"/>
  <c r="F13" i="1" s="1"/>
  <c r="DJ12" i="1"/>
  <c r="DG12" i="1"/>
  <c r="CL12" i="1"/>
  <c r="CJ12" i="1" s="1"/>
  <c r="CG12" i="1" s="1"/>
  <c r="CK12" i="1"/>
  <c r="CH12" i="1"/>
  <c r="CF12" i="1" s="1"/>
  <c r="CC12" i="1" s="1"/>
  <c r="AI12" i="1" s="1"/>
  <c r="AJ12" i="1" s="1"/>
  <c r="BZ12" i="1"/>
  <c r="BY12" i="1"/>
  <c r="BX12" i="1"/>
  <c r="AW12" i="1" s="1"/>
  <c r="AV12" i="1" s="1"/>
  <c r="AR12" i="1" s="1"/>
  <c r="AQ12" i="1" s="1"/>
  <c r="AF12" i="1" s="1"/>
  <c r="AE12" i="1" s="1"/>
  <c r="Q12" i="1"/>
  <c r="O12" i="1" s="1"/>
  <c r="P12" i="1"/>
  <c r="N12" i="1"/>
  <c r="K12" i="1" s="1"/>
  <c r="L12" i="1"/>
  <c r="J12" i="1"/>
  <c r="G12" i="1"/>
  <c r="F12" i="1" s="1"/>
  <c r="DJ11" i="1"/>
  <c r="DH11" i="1"/>
  <c r="DG11" i="1"/>
  <c r="DC11" i="1" s="1"/>
  <c r="CL11" i="1"/>
  <c r="CK11" i="1"/>
  <c r="CJ11" i="1"/>
  <c r="CG11" i="1" s="1"/>
  <c r="CH11" i="1"/>
  <c r="CF11" i="1" s="1"/>
  <c r="CC11" i="1" s="1"/>
  <c r="BZ11" i="1"/>
  <c r="BX11" i="1" s="1"/>
  <c r="BY11" i="1"/>
  <c r="BM11" i="1"/>
  <c r="BL11" i="1" s="1"/>
  <c r="BI11" i="1" s="1"/>
  <c r="BH11" i="1" s="1"/>
  <c r="Q11" i="1"/>
  <c r="O11" i="1" s="1"/>
  <c r="P11" i="1"/>
  <c r="L11" i="1"/>
  <c r="G11" i="1"/>
  <c r="F11" i="1"/>
  <c r="DJ10" i="1"/>
  <c r="DG10" i="1"/>
  <c r="CL10" i="1"/>
  <c r="CK10" i="1"/>
  <c r="CJ10" i="1"/>
  <c r="CG10" i="1" s="1"/>
  <c r="CH10" i="1"/>
  <c r="BZ10" i="1"/>
  <c r="BX10" i="1" s="1"/>
  <c r="AW10" i="1" s="1"/>
  <c r="AV10" i="1" s="1"/>
  <c r="AR10" i="1" s="1"/>
  <c r="AQ10" i="1" s="1"/>
  <c r="AF10" i="1" s="1"/>
  <c r="AE10" i="1" s="1"/>
  <c r="BY10" i="1"/>
  <c r="Q10" i="1"/>
  <c r="P10" i="1"/>
  <c r="O10" i="1"/>
  <c r="L10" i="1"/>
  <c r="G10" i="1"/>
  <c r="F10" i="1"/>
  <c r="DJ9" i="1"/>
  <c r="DG9" i="1"/>
  <c r="DH9" i="1" s="1"/>
  <c r="DC9" i="1"/>
  <c r="CL9" i="1"/>
  <c r="CJ9" i="1" s="1"/>
  <c r="CG9" i="1" s="1"/>
  <c r="CF9" i="1" s="1"/>
  <c r="CC9" i="1" s="1"/>
  <c r="CK9" i="1"/>
  <c r="CH9" i="1"/>
  <c r="BZ9" i="1"/>
  <c r="BX9" i="1" s="1"/>
  <c r="AW9" i="1" s="1"/>
  <c r="AV9" i="1" s="1"/>
  <c r="AR9" i="1" s="1"/>
  <c r="AQ9" i="1" s="1"/>
  <c r="AF9" i="1" s="1"/>
  <c r="AE9" i="1" s="1"/>
  <c r="BY9" i="1"/>
  <c r="Q9" i="1"/>
  <c r="O9" i="1" s="1"/>
  <c r="P9" i="1"/>
  <c r="L9" i="1"/>
  <c r="G9" i="1"/>
  <c r="F9" i="1"/>
  <c r="DJ8" i="1"/>
  <c r="DG8" i="1"/>
  <c r="DH8" i="1" s="1"/>
  <c r="CL8" i="1"/>
  <c r="CK8" i="1"/>
  <c r="CJ8" i="1" s="1"/>
  <c r="CG8" i="1" s="1"/>
  <c r="CF8" i="1" s="1"/>
  <c r="CC8" i="1" s="1"/>
  <c r="CH8" i="1"/>
  <c r="BZ8" i="1"/>
  <c r="BY8" i="1"/>
  <c r="BX8" i="1" s="1"/>
  <c r="BU8" i="1"/>
  <c r="BT8" i="1"/>
  <c r="BQ8" i="1" s="1"/>
  <c r="BP8" i="1" s="1"/>
  <c r="Q8" i="1"/>
  <c r="O8" i="1" s="1"/>
  <c r="N8" i="1" s="1"/>
  <c r="P8" i="1"/>
  <c r="L8" i="1"/>
  <c r="K8" i="1"/>
  <c r="J8" i="1"/>
  <c r="G8" i="1"/>
  <c r="F8" i="1" s="1"/>
  <c r="DJ7" i="1"/>
  <c r="DH7" i="1"/>
  <c r="DG7" i="1"/>
  <c r="DC7" i="1"/>
  <c r="CY7" i="1" s="1"/>
  <c r="CU7" i="1" s="1"/>
  <c r="CZ7" i="1"/>
  <c r="CL7" i="1"/>
  <c r="CK7" i="1"/>
  <c r="CJ7" i="1"/>
  <c r="CG7" i="1" s="1"/>
  <c r="CH7" i="1"/>
  <c r="CF7" i="1" s="1"/>
  <c r="CC7" i="1" s="1"/>
  <c r="BZ7" i="1"/>
  <c r="BY7" i="1"/>
  <c r="BX7" i="1"/>
  <c r="Q7" i="1"/>
  <c r="O7" i="1" s="1"/>
  <c r="P7" i="1"/>
  <c r="L7" i="1"/>
  <c r="G7" i="1"/>
  <c r="F7" i="1" s="1"/>
  <c r="DJ6" i="1"/>
  <c r="DH6" i="1"/>
  <c r="DG6" i="1"/>
  <c r="DC6" i="1" s="1"/>
  <c r="DD6" i="1" s="1"/>
  <c r="CY6" i="1"/>
  <c r="CZ6" i="1" s="1"/>
  <c r="CU6" i="1"/>
  <c r="CV6" i="1" s="1"/>
  <c r="CQ6" i="1"/>
  <c r="CR6" i="1" s="1"/>
  <c r="CL6" i="1"/>
  <c r="CJ6" i="1" s="1"/>
  <c r="CG6" i="1" s="1"/>
  <c r="CK6" i="1"/>
  <c r="CH6" i="1"/>
  <c r="CF6" i="1"/>
  <c r="CC6" i="1"/>
  <c r="CB6" i="1" s="1"/>
  <c r="S6" i="1" s="1"/>
  <c r="T6" i="1" s="1"/>
  <c r="W6" i="1" s="1"/>
  <c r="X6" i="1" s="1"/>
  <c r="AA6" i="1" s="1"/>
  <c r="AB6" i="1" s="1"/>
  <c r="BZ6" i="1"/>
  <c r="BX6" i="1" s="1"/>
  <c r="BY6" i="1"/>
  <c r="AI6" i="1"/>
  <c r="AJ6" i="1" s="1"/>
  <c r="Q6" i="1"/>
  <c r="O6" i="1" s="1"/>
  <c r="P6" i="1"/>
  <c r="N6" i="1"/>
  <c r="K6" i="1" s="1"/>
  <c r="L6" i="1"/>
  <c r="J6" i="1" s="1"/>
  <c r="G6" i="1"/>
  <c r="F6" i="1"/>
  <c r="DJ5" i="1"/>
  <c r="DH5" i="1"/>
  <c r="DG5" i="1"/>
  <c r="DD5" i="1"/>
  <c r="DC5" i="1"/>
  <c r="CY5" i="1"/>
  <c r="CZ5" i="1" s="1"/>
  <c r="CL5" i="1"/>
  <c r="CK5" i="1"/>
  <c r="CH5" i="1"/>
  <c r="BZ5" i="1"/>
  <c r="BY5" i="1"/>
  <c r="BX5" i="1" s="1"/>
  <c r="Q5" i="1"/>
  <c r="P5" i="1"/>
  <c r="O5" i="1"/>
  <c r="N5" i="1"/>
  <c r="K5" i="1" s="1"/>
  <c r="L5" i="1"/>
  <c r="G5" i="1"/>
  <c r="F5" i="1"/>
  <c r="CO3" i="1"/>
  <c r="CN3" i="1"/>
  <c r="CK3" i="1"/>
  <c r="CJ3" i="1"/>
  <c r="CG3" i="1"/>
  <c r="CF3" i="1"/>
  <c r="CC3" i="1"/>
  <c r="CB3" i="1"/>
  <c r="BY3" i="1"/>
  <c r="BX3" i="1"/>
  <c r="BU3" i="1"/>
  <c r="BT3" i="1"/>
  <c r="BQ3" i="1"/>
  <c r="BP3" i="1"/>
  <c r="BM3" i="1"/>
  <c r="BL3" i="1"/>
  <c r="BI3" i="1"/>
  <c r="BH3" i="1"/>
  <c r="BE3" i="1"/>
  <c r="BD3" i="1"/>
  <c r="BA3" i="1"/>
  <c r="AZ3" i="1"/>
  <c r="AW3" i="1"/>
  <c r="AV3" i="1"/>
  <c r="AR3" i="1"/>
  <c r="AQ3" i="1"/>
  <c r="AN3" i="1"/>
  <c r="AM3" i="1"/>
  <c r="AJ3" i="1"/>
  <c r="AI3" i="1"/>
  <c r="AF3" i="1"/>
  <c r="AE3" i="1"/>
  <c r="AB3" i="1"/>
  <c r="AA3" i="1"/>
  <c r="X3" i="1"/>
  <c r="W3" i="1"/>
  <c r="T3" i="1"/>
  <c r="S3" i="1"/>
  <c r="O3" i="1"/>
  <c r="N3" i="1"/>
  <c r="K3" i="1"/>
  <c r="J3" i="1"/>
  <c r="G3" i="1"/>
  <c r="F3" i="1"/>
  <c r="AW5" i="1" l="1"/>
  <c r="AV5" i="1" s="1"/>
  <c r="AR5" i="1" s="1"/>
  <c r="AQ5" i="1" s="1"/>
  <c r="AF5" i="1" s="1"/>
  <c r="AE5" i="1" s="1"/>
  <c r="BM5" i="1"/>
  <c r="BL5" i="1" s="1"/>
  <c r="BI5" i="1" s="1"/>
  <c r="BH5" i="1" s="1"/>
  <c r="BU5" i="1"/>
  <c r="BT5" i="1" s="1"/>
  <c r="BQ5" i="1" s="1"/>
  <c r="BP5" i="1" s="1"/>
  <c r="CJ5" i="1"/>
  <c r="CG5" i="1" s="1"/>
  <c r="CF5" i="1" s="1"/>
  <c r="CC5" i="1" s="1"/>
  <c r="BU16" i="1"/>
  <c r="BT16" i="1" s="1"/>
  <c r="BQ16" i="1" s="1"/>
  <c r="BP16" i="1" s="1"/>
  <c r="BM16" i="1"/>
  <c r="BL16" i="1" s="1"/>
  <c r="BI16" i="1" s="1"/>
  <c r="BH16" i="1" s="1"/>
  <c r="AW16" i="1"/>
  <c r="AV16" i="1" s="1"/>
  <c r="AR16" i="1" s="1"/>
  <c r="AQ16" i="1" s="1"/>
  <c r="AF16" i="1" s="1"/>
  <c r="AE16" i="1" s="1"/>
  <c r="AI19" i="1"/>
  <c r="AJ19" i="1" s="1"/>
  <c r="CB19" i="1"/>
  <c r="S19" i="1" s="1"/>
  <c r="T19" i="1" s="1"/>
  <c r="W19" i="1" s="1"/>
  <c r="X19" i="1" s="1"/>
  <c r="AA19" i="1" s="1"/>
  <c r="AB19" i="1" s="1"/>
  <c r="N7" i="1"/>
  <c r="K7" i="1" s="1"/>
  <c r="AZ12" i="1"/>
  <c r="BA12" i="1" s="1"/>
  <c r="BD12" i="1" s="1"/>
  <c r="BE12" i="1" s="1"/>
  <c r="AM12" i="1"/>
  <c r="AN12" i="1" s="1"/>
  <c r="AW6" i="1"/>
  <c r="AV6" i="1" s="1"/>
  <c r="AR6" i="1" s="1"/>
  <c r="AQ6" i="1" s="1"/>
  <c r="AF6" i="1" s="1"/>
  <c r="AE6" i="1" s="1"/>
  <c r="BM6" i="1"/>
  <c r="BL6" i="1" s="1"/>
  <c r="BI6" i="1" s="1"/>
  <c r="BH6" i="1" s="1"/>
  <c r="BU6" i="1"/>
  <c r="BT6" i="1" s="1"/>
  <c r="BQ6" i="1" s="1"/>
  <c r="BP6" i="1" s="1"/>
  <c r="CB8" i="1"/>
  <c r="S8" i="1" s="1"/>
  <c r="T8" i="1" s="1"/>
  <c r="W8" i="1" s="1"/>
  <c r="X8" i="1" s="1"/>
  <c r="AA8" i="1" s="1"/>
  <c r="AB8" i="1" s="1"/>
  <c r="AI8" i="1"/>
  <c r="AJ8" i="1" s="1"/>
  <c r="AM6" i="1"/>
  <c r="AN6" i="1" s="1"/>
  <c r="AZ6" i="1"/>
  <c r="BA6" i="1" s="1"/>
  <c r="BD6" i="1" s="1"/>
  <c r="BE6" i="1" s="1"/>
  <c r="CB20" i="1"/>
  <c r="S20" i="1" s="1"/>
  <c r="T20" i="1" s="1"/>
  <c r="W20" i="1" s="1"/>
  <c r="X20" i="1" s="1"/>
  <c r="AA20" i="1" s="1"/>
  <c r="AB20" i="1" s="1"/>
  <c r="AI20" i="1"/>
  <c r="AJ20" i="1" s="1"/>
  <c r="CU22" i="1"/>
  <c r="CZ22" i="1"/>
  <c r="AI7" i="1"/>
  <c r="AJ7" i="1" s="1"/>
  <c r="CB7" i="1"/>
  <c r="S7" i="1" s="1"/>
  <c r="T7" i="1" s="1"/>
  <c r="W7" i="1" s="1"/>
  <c r="X7" i="1" s="1"/>
  <c r="AA7" i="1" s="1"/>
  <c r="AB7" i="1" s="1"/>
  <c r="J5" i="1"/>
  <c r="AI9" i="1"/>
  <c r="AJ9" i="1" s="1"/>
  <c r="CB9" i="1"/>
  <c r="S9" i="1" s="1"/>
  <c r="T9" i="1" s="1"/>
  <c r="W9" i="1" s="1"/>
  <c r="X9" i="1" s="1"/>
  <c r="AA9" i="1" s="1"/>
  <c r="AB9" i="1" s="1"/>
  <c r="AW18" i="1"/>
  <c r="AV18" i="1" s="1"/>
  <c r="AR18" i="1" s="1"/>
  <c r="AQ18" i="1" s="1"/>
  <c r="AF18" i="1" s="1"/>
  <c r="AE18" i="1" s="1"/>
  <c r="BU18" i="1"/>
  <c r="BT18" i="1" s="1"/>
  <c r="BQ18" i="1" s="1"/>
  <c r="BP18" i="1" s="1"/>
  <c r="BM18" i="1"/>
  <c r="BL18" i="1" s="1"/>
  <c r="BI18" i="1" s="1"/>
  <c r="BH18" i="1" s="1"/>
  <c r="AM24" i="1"/>
  <c r="AN24" i="1" s="1"/>
  <c r="AW11" i="1"/>
  <c r="AV11" i="1" s="1"/>
  <c r="AR11" i="1" s="1"/>
  <c r="AQ11" i="1" s="1"/>
  <c r="AF11" i="1" s="1"/>
  <c r="AE11" i="1" s="1"/>
  <c r="BU11" i="1"/>
  <c r="BT11" i="1" s="1"/>
  <c r="BQ11" i="1" s="1"/>
  <c r="BP11" i="1" s="1"/>
  <c r="CV7" i="1"/>
  <c r="CQ7" i="1"/>
  <c r="CR7" i="1" s="1"/>
  <c r="CB12" i="1"/>
  <c r="S12" i="1" s="1"/>
  <c r="T12" i="1" s="1"/>
  <c r="W12" i="1" s="1"/>
  <c r="X12" i="1" s="1"/>
  <c r="AA12" i="1" s="1"/>
  <c r="AB12" i="1" s="1"/>
  <c r="CY16" i="1"/>
  <c r="DD16" i="1"/>
  <c r="CB25" i="1"/>
  <c r="S25" i="1" s="1"/>
  <c r="T25" i="1" s="1"/>
  <c r="W25" i="1" s="1"/>
  <c r="X25" i="1" s="1"/>
  <c r="AA25" i="1" s="1"/>
  <c r="AB25" i="1" s="1"/>
  <c r="J20" i="1"/>
  <c r="J18" i="1"/>
  <c r="DD20" i="1"/>
  <c r="CY20" i="1"/>
  <c r="CU5" i="1"/>
  <c r="AI15" i="1"/>
  <c r="AJ15" i="1" s="1"/>
  <c r="N20" i="1"/>
  <c r="K20" i="1" s="1"/>
  <c r="CB11" i="1"/>
  <c r="S11" i="1" s="1"/>
  <c r="T11" i="1" s="1"/>
  <c r="W11" i="1" s="1"/>
  <c r="X11" i="1" s="1"/>
  <c r="AA11" i="1" s="1"/>
  <c r="AB11" i="1" s="1"/>
  <c r="AI11" i="1"/>
  <c r="AJ11" i="1" s="1"/>
  <c r="BM19" i="1"/>
  <c r="BL19" i="1" s="1"/>
  <c r="BI19" i="1" s="1"/>
  <c r="BH19" i="1" s="1"/>
  <c r="BU19" i="1"/>
  <c r="BT19" i="1" s="1"/>
  <c r="BQ19" i="1" s="1"/>
  <c r="BP19" i="1" s="1"/>
  <c r="CF21" i="1"/>
  <c r="CC21" i="1" s="1"/>
  <c r="J23" i="1"/>
  <c r="CJ23" i="1"/>
  <c r="CG23" i="1" s="1"/>
  <c r="BU7" i="1"/>
  <c r="BT7" i="1" s="1"/>
  <c r="BQ7" i="1" s="1"/>
  <c r="BP7" i="1" s="1"/>
  <c r="BM7" i="1"/>
  <c r="BL7" i="1" s="1"/>
  <c r="BI7" i="1" s="1"/>
  <c r="BH7" i="1" s="1"/>
  <c r="AW14" i="1"/>
  <c r="AV14" i="1" s="1"/>
  <c r="AR14" i="1" s="1"/>
  <c r="AQ14" i="1" s="1"/>
  <c r="AF14" i="1" s="1"/>
  <c r="AE14" i="1" s="1"/>
  <c r="BU14" i="1"/>
  <c r="BT14" i="1" s="1"/>
  <c r="BQ14" i="1" s="1"/>
  <c r="BP14" i="1" s="1"/>
  <c r="BM14" i="1"/>
  <c r="BL14" i="1" s="1"/>
  <c r="BI14" i="1" s="1"/>
  <c r="BH14" i="1" s="1"/>
  <c r="DD25" i="1"/>
  <c r="CY25" i="1"/>
  <c r="CF26" i="1"/>
  <c r="CC26" i="1" s="1"/>
  <c r="N11" i="1"/>
  <c r="K11" i="1" s="1"/>
  <c r="J11" i="1" s="1"/>
  <c r="DH12" i="1"/>
  <c r="DC12" i="1"/>
  <c r="BU13" i="1"/>
  <c r="BT13" i="1" s="1"/>
  <c r="BQ13" i="1" s="1"/>
  <c r="BP13" i="1" s="1"/>
  <c r="BM13" i="1"/>
  <c r="BL13" i="1" s="1"/>
  <c r="BI13" i="1" s="1"/>
  <c r="BH13" i="1" s="1"/>
  <c r="AW13" i="1"/>
  <c r="AV13" i="1" s="1"/>
  <c r="AR13" i="1" s="1"/>
  <c r="AQ13" i="1" s="1"/>
  <c r="AF13" i="1" s="1"/>
  <c r="AE13" i="1" s="1"/>
  <c r="BM15" i="1"/>
  <c r="BL15" i="1" s="1"/>
  <c r="BI15" i="1" s="1"/>
  <c r="BH15" i="1" s="1"/>
  <c r="DD23" i="1"/>
  <c r="CY23" i="1"/>
  <c r="N25" i="1"/>
  <c r="K25" i="1" s="1"/>
  <c r="J25" i="1" s="1"/>
  <c r="AW27" i="1"/>
  <c r="AV27" i="1" s="1"/>
  <c r="AR27" i="1" s="1"/>
  <c r="AQ27" i="1" s="1"/>
  <c r="AF27" i="1" s="1"/>
  <c r="AE27" i="1" s="1"/>
  <c r="BU27" i="1"/>
  <c r="BT27" i="1" s="1"/>
  <c r="BQ27" i="1" s="1"/>
  <c r="BP27" i="1" s="1"/>
  <c r="DC26" i="1"/>
  <c r="DH26" i="1"/>
  <c r="CB27" i="1"/>
  <c r="S27" i="1" s="1"/>
  <c r="T27" i="1" s="1"/>
  <c r="W27" i="1" s="1"/>
  <c r="X27" i="1" s="1"/>
  <c r="AA27" i="1" s="1"/>
  <c r="AB27" i="1" s="1"/>
  <c r="AI27" i="1"/>
  <c r="AJ27" i="1" s="1"/>
  <c r="CB18" i="1"/>
  <c r="S18" i="1" s="1"/>
  <c r="T18" i="1" s="1"/>
  <c r="W18" i="1" s="1"/>
  <c r="X18" i="1" s="1"/>
  <c r="AA18" i="1" s="1"/>
  <c r="AB18" i="1" s="1"/>
  <c r="AI18" i="1"/>
  <c r="AJ18" i="1" s="1"/>
  <c r="BU10" i="1"/>
  <c r="BT10" i="1" s="1"/>
  <c r="BQ10" i="1" s="1"/>
  <c r="BP10" i="1" s="1"/>
  <c r="BM10" i="1"/>
  <c r="BL10" i="1" s="1"/>
  <c r="BI10" i="1" s="1"/>
  <c r="BH10" i="1" s="1"/>
  <c r="BU15" i="1"/>
  <c r="BT15" i="1" s="1"/>
  <c r="BQ15" i="1" s="1"/>
  <c r="BP15" i="1" s="1"/>
  <c r="J16" i="1"/>
  <c r="CJ17" i="1"/>
  <c r="CG17" i="1" s="1"/>
  <c r="CF17" i="1" s="1"/>
  <c r="CC17" i="1" s="1"/>
  <c r="CV21" i="1"/>
  <c r="CQ21" i="1"/>
  <c r="CR21" i="1" s="1"/>
  <c r="AM25" i="1"/>
  <c r="AN25" i="1" s="1"/>
  <c r="AI13" i="1"/>
  <c r="AJ13" i="1" s="1"/>
  <c r="CB13" i="1"/>
  <c r="S13" i="1" s="1"/>
  <c r="T13" i="1" s="1"/>
  <c r="W13" i="1" s="1"/>
  <c r="X13" i="1" s="1"/>
  <c r="AA13" i="1" s="1"/>
  <c r="AB13" i="1" s="1"/>
  <c r="DD18" i="1"/>
  <c r="CY18" i="1"/>
  <c r="AW7" i="1"/>
  <c r="AV7" i="1" s="1"/>
  <c r="AR7" i="1" s="1"/>
  <c r="AQ7" i="1" s="1"/>
  <c r="AF7" i="1" s="1"/>
  <c r="AE7" i="1" s="1"/>
  <c r="AW8" i="1"/>
  <c r="AV8" i="1" s="1"/>
  <c r="AR8" i="1" s="1"/>
  <c r="AQ8" i="1" s="1"/>
  <c r="AF8" i="1" s="1"/>
  <c r="AE8" i="1" s="1"/>
  <c r="BM8" i="1"/>
  <c r="BL8" i="1" s="1"/>
  <c r="BI8" i="1" s="1"/>
  <c r="BH8" i="1" s="1"/>
  <c r="J10" i="1"/>
  <c r="J13" i="1"/>
  <c r="AI14" i="1"/>
  <c r="AJ14" i="1" s="1"/>
  <c r="BM22" i="1"/>
  <c r="BL22" i="1" s="1"/>
  <c r="BI22" i="1" s="1"/>
  <c r="BH22" i="1" s="1"/>
  <c r="AW22" i="1"/>
  <c r="AV22" i="1" s="1"/>
  <c r="AR22" i="1" s="1"/>
  <c r="AQ22" i="1" s="1"/>
  <c r="AF22" i="1" s="1"/>
  <c r="AE22" i="1" s="1"/>
  <c r="CF16" i="1"/>
  <c r="CC16" i="1" s="1"/>
  <c r="AI22" i="1"/>
  <c r="AJ22" i="1" s="1"/>
  <c r="CB22" i="1"/>
  <c r="S22" i="1" s="1"/>
  <c r="T22" i="1" s="1"/>
  <c r="W22" i="1" s="1"/>
  <c r="X22" i="1" s="1"/>
  <c r="AA22" i="1" s="1"/>
  <c r="AB22" i="1" s="1"/>
  <c r="DD9" i="1"/>
  <c r="CY9" i="1"/>
  <c r="BM12" i="1"/>
  <c r="BL12" i="1" s="1"/>
  <c r="BI12" i="1" s="1"/>
  <c r="BH12" i="1" s="1"/>
  <c r="BU12" i="1"/>
  <c r="BT12" i="1" s="1"/>
  <c r="BQ12" i="1" s="1"/>
  <c r="BP12" i="1" s="1"/>
  <c r="AW20" i="1"/>
  <c r="AV20" i="1" s="1"/>
  <c r="AR20" i="1" s="1"/>
  <c r="AQ20" i="1" s="1"/>
  <c r="AF20" i="1" s="1"/>
  <c r="AE20" i="1" s="1"/>
  <c r="BU20" i="1"/>
  <c r="BT20" i="1" s="1"/>
  <c r="BQ20" i="1" s="1"/>
  <c r="BP20" i="1" s="1"/>
  <c r="BM20" i="1"/>
  <c r="BL20" i="1" s="1"/>
  <c r="BI20" i="1" s="1"/>
  <c r="BH20" i="1" s="1"/>
  <c r="DD7" i="1"/>
  <c r="DC10" i="1"/>
  <c r="DH10" i="1"/>
  <c r="CZ15" i="1"/>
  <c r="CU15" i="1"/>
  <c r="BU26" i="1"/>
  <c r="BT26" i="1" s="1"/>
  <c r="BQ26" i="1" s="1"/>
  <c r="BP26" i="1" s="1"/>
  <c r="BM26" i="1"/>
  <c r="BL26" i="1" s="1"/>
  <c r="BI26" i="1" s="1"/>
  <c r="BH26" i="1" s="1"/>
  <c r="CF23" i="1"/>
  <c r="CC23" i="1" s="1"/>
  <c r="BM9" i="1"/>
  <c r="BL9" i="1" s="1"/>
  <c r="BI9" i="1" s="1"/>
  <c r="BH9" i="1" s="1"/>
  <c r="BU9" i="1"/>
  <c r="BT9" i="1" s="1"/>
  <c r="BQ9" i="1" s="1"/>
  <c r="BP9" i="1" s="1"/>
  <c r="CF10" i="1"/>
  <c r="CC10" i="1" s="1"/>
  <c r="J7" i="1"/>
  <c r="N10" i="1"/>
  <c r="K10" i="1" s="1"/>
  <c r="DD11" i="1"/>
  <c r="CY11" i="1"/>
  <c r="N13" i="1"/>
  <c r="K13" i="1" s="1"/>
  <c r="DD17" i="1"/>
  <c r="CY17" i="1"/>
  <c r="CZ13" i="1"/>
  <c r="CU13" i="1"/>
  <c r="N9" i="1"/>
  <c r="K9" i="1" s="1"/>
  <c r="J9" i="1" s="1"/>
  <c r="DD13" i="1"/>
  <c r="J15" i="1"/>
  <c r="DH19" i="1"/>
  <c r="DC19" i="1"/>
  <c r="BX25" i="1"/>
  <c r="N27" i="1"/>
  <c r="K27" i="1" s="1"/>
  <c r="J27" i="1" s="1"/>
  <c r="BM21" i="1"/>
  <c r="BL21" i="1" s="1"/>
  <c r="BI21" i="1" s="1"/>
  <c r="BH21" i="1" s="1"/>
  <c r="BM23" i="1"/>
  <c r="BL23" i="1" s="1"/>
  <c r="BI23" i="1" s="1"/>
  <c r="BH23" i="1" s="1"/>
  <c r="DC8" i="1"/>
  <c r="CY14" i="1"/>
  <c r="DC24" i="1"/>
  <c r="BU17" i="1"/>
  <c r="BT17" i="1" s="1"/>
  <c r="BQ17" i="1" s="1"/>
  <c r="BP17" i="1" s="1"/>
  <c r="DC27" i="1"/>
  <c r="CB21" i="1" l="1"/>
  <c r="S21" i="1" s="1"/>
  <c r="T21" i="1" s="1"/>
  <c r="W21" i="1" s="1"/>
  <c r="X21" i="1" s="1"/>
  <c r="AA21" i="1" s="1"/>
  <c r="AB21" i="1" s="1"/>
  <c r="AI21" i="1"/>
  <c r="AJ21" i="1" s="1"/>
  <c r="CV15" i="1"/>
  <c r="CQ15" i="1"/>
  <c r="CR15" i="1" s="1"/>
  <c r="DD24" i="1"/>
  <c r="CY24" i="1"/>
  <c r="AZ14" i="1"/>
  <c r="BA14" i="1" s="1"/>
  <c r="BD14" i="1" s="1"/>
  <c r="BE14" i="1" s="1"/>
  <c r="AM14" i="1"/>
  <c r="AN14" i="1" s="1"/>
  <c r="AZ11" i="1"/>
  <c r="BA11" i="1" s="1"/>
  <c r="BD11" i="1" s="1"/>
  <c r="BE11" i="1" s="1"/>
  <c r="AM11" i="1"/>
  <c r="AN11" i="1" s="1"/>
  <c r="CY10" i="1"/>
  <c r="DD10" i="1"/>
  <c r="CZ14" i="1"/>
  <c r="CU14" i="1"/>
  <c r="AZ27" i="1"/>
  <c r="BA27" i="1" s="1"/>
  <c r="BD27" i="1" s="1"/>
  <c r="BE27" i="1" s="1"/>
  <c r="AM27" i="1"/>
  <c r="AN27" i="1" s="1"/>
  <c r="AI26" i="1"/>
  <c r="AJ26" i="1" s="1"/>
  <c r="CB26" i="1"/>
  <c r="S26" i="1" s="1"/>
  <c r="T26" i="1" s="1"/>
  <c r="W26" i="1" s="1"/>
  <c r="X26" i="1" s="1"/>
  <c r="AA26" i="1" s="1"/>
  <c r="AB26" i="1" s="1"/>
  <c r="AZ15" i="1"/>
  <c r="BA15" i="1" s="1"/>
  <c r="BD15" i="1" s="1"/>
  <c r="BE15" i="1" s="1"/>
  <c r="AM15" i="1"/>
  <c r="AN15" i="1" s="1"/>
  <c r="CV13" i="1"/>
  <c r="CQ13" i="1"/>
  <c r="CR13" i="1" s="1"/>
  <c r="AZ8" i="1"/>
  <c r="BA8" i="1" s="1"/>
  <c r="BD8" i="1" s="1"/>
  <c r="BE8" i="1" s="1"/>
  <c r="AM8" i="1"/>
  <c r="AN8" i="1" s="1"/>
  <c r="CZ11" i="1"/>
  <c r="CU11" i="1"/>
  <c r="CZ25" i="1"/>
  <c r="CU25" i="1"/>
  <c r="CQ5" i="1"/>
  <c r="CR5" i="1" s="1"/>
  <c r="CV5" i="1"/>
  <c r="DD27" i="1"/>
  <c r="CY27" i="1"/>
  <c r="CY12" i="1"/>
  <c r="DD12" i="1"/>
  <c r="AZ18" i="1"/>
  <c r="BA18" i="1" s="1"/>
  <c r="BD18" i="1" s="1"/>
  <c r="BE18" i="1" s="1"/>
  <c r="AM18" i="1"/>
  <c r="AN18" i="1" s="1"/>
  <c r="CU18" i="1"/>
  <c r="CZ18" i="1"/>
  <c r="CZ20" i="1"/>
  <c r="CU20" i="1"/>
  <c r="CY26" i="1"/>
  <c r="DD26" i="1"/>
  <c r="AZ9" i="1"/>
  <c r="BA9" i="1" s="1"/>
  <c r="BD9" i="1" s="1"/>
  <c r="BE9" i="1" s="1"/>
  <c r="AM9" i="1"/>
  <c r="AN9" i="1" s="1"/>
  <c r="CZ17" i="1"/>
  <c r="CU17" i="1"/>
  <c r="DD8" i="1"/>
  <c r="CY8" i="1"/>
  <c r="CB5" i="1"/>
  <c r="S5" i="1" s="1"/>
  <c r="T5" i="1" s="1"/>
  <c r="W5" i="1" s="1"/>
  <c r="X5" i="1" s="1"/>
  <c r="AA5" i="1" s="1"/>
  <c r="AB5" i="1" s="1"/>
  <c r="AI5" i="1"/>
  <c r="AJ5" i="1" s="1"/>
  <c r="BM25" i="1"/>
  <c r="BL25" i="1" s="1"/>
  <c r="BI25" i="1" s="1"/>
  <c r="BH25" i="1" s="1"/>
  <c r="BU25" i="1"/>
  <c r="BT25" i="1" s="1"/>
  <c r="BQ25" i="1" s="1"/>
  <c r="BP25" i="1" s="1"/>
  <c r="AW25" i="1"/>
  <c r="AV25" i="1" s="1"/>
  <c r="AR25" i="1" s="1"/>
  <c r="AQ25" i="1" s="1"/>
  <c r="AF25" i="1" s="1"/>
  <c r="AE25" i="1" s="1"/>
  <c r="AI10" i="1"/>
  <c r="AJ10" i="1" s="1"/>
  <c r="CB10" i="1"/>
  <c r="S10" i="1" s="1"/>
  <c r="T10" i="1" s="1"/>
  <c r="W10" i="1" s="1"/>
  <c r="X10" i="1" s="1"/>
  <c r="AA10" i="1" s="1"/>
  <c r="AB10" i="1" s="1"/>
  <c r="CZ9" i="1"/>
  <c r="CU9" i="1"/>
  <c r="AM13" i="1"/>
  <c r="AN13" i="1" s="1"/>
  <c r="AZ13" i="1"/>
  <c r="BA13" i="1" s="1"/>
  <c r="BD13" i="1" s="1"/>
  <c r="BE13" i="1" s="1"/>
  <c r="DD19" i="1"/>
  <c r="CY19" i="1"/>
  <c r="AM7" i="1"/>
  <c r="AN7" i="1" s="1"/>
  <c r="AZ7" i="1"/>
  <c r="BA7" i="1" s="1"/>
  <c r="BD7" i="1" s="1"/>
  <c r="BE7" i="1" s="1"/>
  <c r="AM19" i="1"/>
  <c r="AN19" i="1" s="1"/>
  <c r="AZ19" i="1"/>
  <c r="BA19" i="1" s="1"/>
  <c r="BD19" i="1" s="1"/>
  <c r="BE19" i="1" s="1"/>
  <c r="CZ23" i="1"/>
  <c r="CU23" i="1"/>
  <c r="AI23" i="1"/>
  <c r="AJ23" i="1" s="1"/>
  <c r="CB23" i="1"/>
  <c r="S23" i="1" s="1"/>
  <c r="T23" i="1" s="1"/>
  <c r="W23" i="1" s="1"/>
  <c r="X23" i="1" s="1"/>
  <c r="AA23" i="1" s="1"/>
  <c r="AB23" i="1" s="1"/>
  <c r="AM22" i="1"/>
  <c r="AN22" i="1" s="1"/>
  <c r="AZ22" i="1"/>
  <c r="BA22" i="1" s="1"/>
  <c r="BD22" i="1" s="1"/>
  <c r="BE22" i="1" s="1"/>
  <c r="CU16" i="1"/>
  <c r="CZ16" i="1"/>
  <c r="CQ22" i="1"/>
  <c r="CR22" i="1" s="1"/>
  <c r="CV22" i="1"/>
  <c r="AI16" i="1"/>
  <c r="AJ16" i="1" s="1"/>
  <c r="CB16" i="1"/>
  <c r="S16" i="1" s="1"/>
  <c r="T16" i="1" s="1"/>
  <c r="W16" i="1" s="1"/>
  <c r="X16" i="1" s="1"/>
  <c r="AA16" i="1" s="1"/>
  <c r="AB16" i="1" s="1"/>
  <c r="CB17" i="1"/>
  <c r="S17" i="1" s="1"/>
  <c r="T17" i="1" s="1"/>
  <c r="W17" i="1" s="1"/>
  <c r="X17" i="1" s="1"/>
  <c r="AA17" i="1" s="1"/>
  <c r="AB17" i="1" s="1"/>
  <c r="AI17" i="1"/>
  <c r="AJ17" i="1" s="1"/>
  <c r="AM20" i="1"/>
  <c r="AN20" i="1" s="1"/>
  <c r="AZ20" i="1"/>
  <c r="BA20" i="1" s="1"/>
  <c r="BD20" i="1" s="1"/>
  <c r="BE20" i="1" s="1"/>
  <c r="CZ8" i="1" l="1"/>
  <c r="CU8" i="1"/>
  <c r="CZ27" i="1"/>
  <c r="CU27" i="1"/>
  <c r="AM16" i="1"/>
  <c r="AN16" i="1" s="1"/>
  <c r="AZ16" i="1"/>
  <c r="BA16" i="1" s="1"/>
  <c r="BD16" i="1" s="1"/>
  <c r="BE16" i="1" s="1"/>
  <c r="CQ25" i="1"/>
  <c r="CR25" i="1" s="1"/>
  <c r="CV25" i="1"/>
  <c r="CZ10" i="1"/>
  <c r="CU10" i="1"/>
  <c r="CV11" i="1"/>
  <c r="CQ11" i="1"/>
  <c r="CR11" i="1" s="1"/>
  <c r="CQ9" i="1"/>
  <c r="CR9" i="1" s="1"/>
  <c r="CV9" i="1"/>
  <c r="CZ26" i="1"/>
  <c r="CU26" i="1"/>
  <c r="CV16" i="1"/>
  <c r="CQ16" i="1"/>
  <c r="CR16" i="1" s="1"/>
  <c r="CV20" i="1"/>
  <c r="CQ20" i="1"/>
  <c r="CR20" i="1" s="1"/>
  <c r="AZ17" i="1"/>
  <c r="BA17" i="1" s="1"/>
  <c r="BD17" i="1" s="1"/>
  <c r="BE17" i="1" s="1"/>
  <c r="AM17" i="1"/>
  <c r="AN17" i="1" s="1"/>
  <c r="CV14" i="1"/>
  <c r="CQ14" i="1"/>
  <c r="CR14" i="1" s="1"/>
  <c r="AM10" i="1"/>
  <c r="AN10" i="1" s="1"/>
  <c r="AZ10" i="1"/>
  <c r="BA10" i="1" s="1"/>
  <c r="BD10" i="1" s="1"/>
  <c r="BE10" i="1" s="1"/>
  <c r="CZ24" i="1"/>
  <c r="CU24" i="1"/>
  <c r="CQ18" i="1"/>
  <c r="CR18" i="1" s="1"/>
  <c r="CV18" i="1"/>
  <c r="CU19" i="1"/>
  <c r="CZ19" i="1"/>
  <c r="AM23" i="1"/>
  <c r="AN23" i="1" s="1"/>
  <c r="AZ23" i="1"/>
  <c r="BA23" i="1" s="1"/>
  <c r="BD23" i="1" s="1"/>
  <c r="BE23" i="1" s="1"/>
  <c r="CV23" i="1"/>
  <c r="CQ23" i="1"/>
  <c r="CR23" i="1" s="1"/>
  <c r="CV17" i="1"/>
  <c r="CQ17" i="1"/>
  <c r="CR17" i="1" s="1"/>
  <c r="AM5" i="1"/>
  <c r="AN5" i="1" s="1"/>
  <c r="AZ5" i="1"/>
  <c r="BA5" i="1" s="1"/>
  <c r="BD5" i="1" s="1"/>
  <c r="BE5" i="1" s="1"/>
  <c r="AZ21" i="1"/>
  <c r="BA21" i="1" s="1"/>
  <c r="BD21" i="1" s="1"/>
  <c r="BE21" i="1" s="1"/>
  <c r="AM21" i="1"/>
  <c r="AN21" i="1" s="1"/>
  <c r="CZ12" i="1"/>
  <c r="CU12" i="1"/>
  <c r="AM26" i="1"/>
  <c r="AN26" i="1" s="1"/>
  <c r="AZ26" i="1"/>
  <c r="BA26" i="1" s="1"/>
  <c r="BD26" i="1" s="1"/>
  <c r="BE26" i="1" s="1"/>
  <c r="CV26" i="1" l="1"/>
  <c r="CQ26" i="1"/>
  <c r="CR26" i="1" s="1"/>
  <c r="CQ12" i="1"/>
  <c r="CR12" i="1" s="1"/>
  <c r="CV12" i="1"/>
  <c r="CQ24" i="1"/>
  <c r="CR24" i="1" s="1"/>
  <c r="CV24" i="1"/>
  <c r="CV10" i="1"/>
  <c r="CQ10" i="1"/>
  <c r="CR10" i="1" s="1"/>
  <c r="CV19" i="1"/>
  <c r="CQ19" i="1"/>
  <c r="CR19" i="1" s="1"/>
  <c r="CV27" i="1"/>
  <c r="CQ27" i="1"/>
  <c r="CR27" i="1" s="1"/>
  <c r="CQ8" i="1"/>
  <c r="CR8" i="1" s="1"/>
  <c r="CV8" i="1"/>
</calcChain>
</file>

<file path=xl/sharedStrings.xml><?xml version="1.0" encoding="utf-8"?>
<sst xmlns="http://schemas.openxmlformats.org/spreadsheetml/2006/main" count="222" uniqueCount="91">
  <si>
    <t>PLANEJAMENTO MACROFLUXO</t>
  </si>
  <si>
    <t>Horizonte</t>
  </si>
  <si>
    <t>LIMPEZA "SUPRESSÃO"</t>
  </si>
  <si>
    <t>TERRAPLANAGEM</t>
  </si>
  <si>
    <t>INFRA INCIDENTE (SAA E SES)</t>
  </si>
  <si>
    <t>PULMÃO</t>
  </si>
  <si>
    <t>RADIER</t>
  </si>
  <si>
    <t>EQUIPANENTOS COMUNS</t>
  </si>
  <si>
    <t>Sem Pulmão</t>
  </si>
  <si>
    <t>UGB</t>
  </si>
  <si>
    <t>EMP</t>
  </si>
  <si>
    <t>PROSPECÇÃO</t>
  </si>
  <si>
    <t>LEGALIZAÇÃO PARA VENDA</t>
  </si>
  <si>
    <t>PULMÃO VENDA</t>
  </si>
  <si>
    <t>DEMANDA MÍNIMA</t>
  </si>
  <si>
    <t>PL.LIMP</t>
  </si>
  <si>
    <t>LEG.LIMP</t>
  </si>
  <si>
    <t>ENG. LIMP.</t>
  </si>
  <si>
    <t>EXECUÇÃO LIMP.</t>
  </si>
  <si>
    <t>PL.TER.</t>
  </si>
  <si>
    <t>LEG.TER.</t>
  </si>
  <si>
    <t>ENG. TER.</t>
  </si>
  <si>
    <t>EXECUÇÃO TER.</t>
  </si>
  <si>
    <t>PL.INFRA</t>
  </si>
  <si>
    <t>LEG.INFRA</t>
  </si>
  <si>
    <t>ENG. INFRA</t>
  </si>
  <si>
    <t>EXECUÇÃO INFRA</t>
  </si>
  <si>
    <t>ENG. PAV</t>
  </si>
  <si>
    <t>EXECUÇÃO PAV.</t>
  </si>
  <si>
    <t>PULMÃO INFRA</t>
  </si>
  <si>
    <t>PL.RADIER</t>
  </si>
  <si>
    <t>LEG.RADIER</t>
  </si>
  <si>
    <t>PULMÃO RADIER</t>
  </si>
  <si>
    <t>PE. ÁREAS COMUNS (URB)</t>
  </si>
  <si>
    <t>PE. ÁREAS COMUNS (ENG)</t>
  </si>
  <si>
    <t>ORÇ. ÁREAS COMUNS</t>
  </si>
  <si>
    <t>SUP. ÁREAS COMUNS</t>
  </si>
  <si>
    <t>EXECUÇÃO ÁREAS COMUNS</t>
  </si>
  <si>
    <t>Com Pulmão</t>
  </si>
  <si>
    <t>NOME</t>
  </si>
  <si>
    <t>TIPO</t>
  </si>
  <si>
    <t>Início</t>
  </si>
  <si>
    <t>Término</t>
  </si>
  <si>
    <t>Meses</t>
  </si>
  <si>
    <t>DIAS U.</t>
  </si>
  <si>
    <t>INSUMOS</t>
  </si>
  <si>
    <t>DIAS</t>
  </si>
  <si>
    <t xml:space="preserve">Var. </t>
  </si>
  <si>
    <t>SC</t>
  </si>
  <si>
    <t>NOVO MALHADA</t>
  </si>
  <si>
    <t>Loteamento</t>
  </si>
  <si>
    <t>CA</t>
  </si>
  <si>
    <t>RECANTO DAS OLIVEIRAS</t>
  </si>
  <si>
    <t>Condomínio</t>
  </si>
  <si>
    <t>RECANTO DAS AMOREIRAS</t>
  </si>
  <si>
    <t>RECANTO DAS VIDEIRAS</t>
  </si>
  <si>
    <t>RECANTO DAS FIGUEIRAS</t>
  </si>
  <si>
    <t>RECANTO DAS PINTANGUEIRAS</t>
  </si>
  <si>
    <t>NOVO EMP CA</t>
  </si>
  <si>
    <t>CA02</t>
  </si>
  <si>
    <t>JARDIM DA SERRA I</t>
  </si>
  <si>
    <t xml:space="preserve">JARDIM DA SERRA II (TOINHO) </t>
  </si>
  <si>
    <t>NOVO EMP CA 02</t>
  </si>
  <si>
    <t>CA03</t>
  </si>
  <si>
    <t>CARUARU T+3</t>
  </si>
  <si>
    <t>GA</t>
  </si>
  <si>
    <t>JARDIM DAS HOTÊNSIAS</t>
  </si>
  <si>
    <t>JARDIM DAS ORQUÍDEAS</t>
  </si>
  <si>
    <t>JARDIM DOS LÍRIOS</t>
  </si>
  <si>
    <t>NOVO EMP GA</t>
  </si>
  <si>
    <t>IG</t>
  </si>
  <si>
    <t>JARDIM DOS CAMPOS</t>
  </si>
  <si>
    <t>JB</t>
  </si>
  <si>
    <t>JARDIM DOS ARCOS</t>
  </si>
  <si>
    <t>JARDIM DOS ARCOS 2</t>
  </si>
  <si>
    <t>SL</t>
  </si>
  <si>
    <t>JARDIM DOS EUCALIPTOS</t>
  </si>
  <si>
    <t>JARDIM DOS IPÊS</t>
  </si>
  <si>
    <t>JARDIM DAS AROEIRAS</t>
  </si>
  <si>
    <t>JARDIM DAS CASTANHEIRAS</t>
  </si>
  <si>
    <t>VIT</t>
  </si>
  <si>
    <t>VITÓRIA</t>
  </si>
  <si>
    <t>Prospecção</t>
  </si>
  <si>
    <t>Legalização</t>
  </si>
  <si>
    <t>Pulmão</t>
  </si>
  <si>
    <t>Engenharia</t>
  </si>
  <si>
    <t>Infra</t>
  </si>
  <si>
    <t>Novos Produtos</t>
  </si>
  <si>
    <t>Produção</t>
  </si>
  <si>
    <t>Venda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</si>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</sst>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6BAA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EC8EE"/>
        <bgColor indexed="64"/>
      </patternFill>
    </fill>
    <fill>
      <patternFill patternType="solid">
        <fgColor rgb="FFFF925B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indexed="64"/>
      </bottom>
      <diagonal/>
    </border>
    <border>
      <left/>
      <right/>
      <top style="thin">
        <color theme="0" tint="-0.249977111117893"/>
      </top>
      <bottom style="thin">
        <color indexed="64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/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5">
    <xf numFmtId="0" fontId="0" fillId="0" borderId="0" xfId="0"/>
    <xf numFmtId="0" fontId="4" fillId="3" borderId="4" xfId="0" applyFont="1" applyFill="1" applyBorder="1" applyAlignment="1">
      <alignment horizontal="center"/>
    </xf>
    <xf numFmtId="14" fontId="4" fillId="3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14" fontId="4" fillId="3" borderId="7" xfId="0" applyNumberFormat="1" applyFont="1" applyFill="1" applyBorder="1" applyAlignment="1">
      <alignment horizontal="center"/>
    </xf>
    <xf numFmtId="14" fontId="4" fillId="3" borderId="8" xfId="0" applyNumberFormat="1" applyFont="1" applyFill="1" applyBorder="1" applyAlignment="1">
      <alignment horizontal="center"/>
    </xf>
    <xf numFmtId="0" fontId="6" fillId="4" borderId="0" xfId="0" applyFont="1" applyFill="1"/>
    <xf numFmtId="0" fontId="5" fillId="2" borderId="12" xfId="0" applyFont="1" applyFill="1" applyBorder="1" applyAlignment="1">
      <alignment horizontal="center"/>
    </xf>
    <xf numFmtId="0" fontId="0" fillId="0" borderId="16" xfId="0" applyBorder="1"/>
    <xf numFmtId="0" fontId="5" fillId="2" borderId="17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5" fillId="11" borderId="19" xfId="0" applyFont="1" applyFill="1" applyBorder="1" applyAlignment="1">
      <alignment horizontal="center"/>
    </xf>
    <xf numFmtId="0" fontId="0" fillId="11" borderId="0" xfId="0" applyFill="1"/>
    <xf numFmtId="0" fontId="7" fillId="2" borderId="1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6" fillId="0" borderId="0" xfId="0" applyFont="1"/>
    <xf numFmtId="44" fontId="7" fillId="2" borderId="20" xfId="1" applyFont="1" applyFill="1" applyBorder="1" applyAlignment="1">
      <alignment horizontal="center"/>
    </xf>
    <xf numFmtId="44" fontId="7" fillId="2" borderId="0" xfId="1" applyFont="1" applyFill="1" applyBorder="1" applyAlignment="1">
      <alignment horizontal="center"/>
    </xf>
    <xf numFmtId="44" fontId="7" fillId="2" borderId="21" xfId="1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21" xfId="0" applyFont="1" applyFill="1" applyBorder="1" applyAlignment="1">
      <alignment horizontal="center"/>
    </xf>
    <xf numFmtId="0" fontId="7" fillId="2" borderId="22" xfId="0" applyFont="1" applyFill="1" applyBorder="1" applyAlignment="1">
      <alignment horizontal="center"/>
    </xf>
    <xf numFmtId="0" fontId="7" fillId="2" borderId="23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4" fillId="12" borderId="12" xfId="0" applyFont="1" applyFill="1" applyBorder="1" applyAlignment="1">
      <alignment horizontal="left"/>
    </xf>
    <xf numFmtId="0" fontId="4" fillId="12" borderId="18" xfId="0" applyFont="1" applyFill="1" applyBorder="1" applyAlignment="1">
      <alignment horizontal="left"/>
    </xf>
    <xf numFmtId="0" fontId="4" fillId="12" borderId="23" xfId="0" applyFont="1" applyFill="1" applyBorder="1" applyAlignment="1">
      <alignment horizontal="left"/>
    </xf>
    <xf numFmtId="0" fontId="4" fillId="12" borderId="3" xfId="0" applyFont="1" applyFill="1" applyBorder="1" applyAlignment="1">
      <alignment horizontal="left"/>
    </xf>
    <xf numFmtId="0" fontId="4" fillId="12" borderId="24" xfId="0" applyFont="1" applyFill="1" applyBorder="1" applyAlignment="1">
      <alignment horizontal="left"/>
    </xf>
    <xf numFmtId="0" fontId="4" fillId="12" borderId="25" xfId="0" applyFont="1" applyFill="1" applyBorder="1" applyAlignment="1">
      <alignment horizontal="left"/>
    </xf>
    <xf numFmtId="0" fontId="4" fillId="12" borderId="24" xfId="0" applyFont="1" applyFill="1" applyBorder="1" applyAlignment="1">
      <alignment horizontal="center"/>
    </xf>
    <xf numFmtId="0" fontId="0" fillId="12" borderId="23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24" xfId="0" applyFill="1" applyBorder="1" applyAlignment="1">
      <alignment horizontal="left"/>
    </xf>
    <xf numFmtId="0" fontId="4" fillId="12" borderId="4" xfId="0" applyFont="1" applyFill="1" applyBorder="1" applyAlignment="1">
      <alignment horizontal="center"/>
    </xf>
    <xf numFmtId="0" fontId="4" fillId="12" borderId="18" xfId="0" applyFon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3" fillId="0" borderId="8" xfId="0" applyFont="1" applyBorder="1" applyAlignment="1">
      <alignment horizontal="right"/>
    </xf>
    <xf numFmtId="0" fontId="0" fillId="0" borderId="6" xfId="0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21" xfId="0" applyBorder="1" applyAlignment="1">
      <alignment horizontal="center"/>
    </xf>
    <xf numFmtId="0" fontId="8" fillId="0" borderId="21" xfId="0" applyFont="1" applyBorder="1" applyAlignment="1">
      <alignment horizontal="center"/>
    </xf>
    <xf numFmtId="14" fontId="4" fillId="4" borderId="22" xfId="0" applyNumberFormat="1" applyFont="1" applyFill="1" applyBorder="1" applyAlignment="1">
      <alignment horizontal="center"/>
    </xf>
    <xf numFmtId="14" fontId="8" fillId="0" borderId="20" xfId="0" applyNumberFormat="1" applyFont="1" applyBorder="1" applyAlignment="1">
      <alignment horizontal="center"/>
    </xf>
    <xf numFmtId="14" fontId="8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21" xfId="0" applyFont="1" applyBorder="1" applyAlignment="1">
      <alignment horizontal="center"/>
    </xf>
    <xf numFmtId="14" fontId="4" fillId="13" borderId="26" xfId="0" applyNumberFormat="1" applyFont="1" applyFill="1" applyBorder="1" applyAlignment="1">
      <alignment horizontal="center"/>
    </xf>
    <xf numFmtId="14" fontId="4" fillId="14" borderId="6" xfId="0" applyNumberFormat="1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14" fontId="8" fillId="11" borderId="0" xfId="0" applyNumberFormat="1" applyFont="1" applyFill="1" applyAlignment="1">
      <alignment horizontal="center"/>
    </xf>
    <xf numFmtId="0" fontId="0" fillId="15" borderId="8" xfId="0" applyFill="1" applyBorder="1" applyAlignment="1">
      <alignment horizontal="right"/>
    </xf>
    <xf numFmtId="0" fontId="3" fillId="15" borderId="8" xfId="0" applyFont="1" applyFill="1" applyBorder="1" applyAlignment="1">
      <alignment horizontal="right"/>
    </xf>
    <xf numFmtId="0" fontId="0" fillId="15" borderId="6" xfId="0" applyFill="1" applyBorder="1" applyAlignment="1">
      <alignment horizontal="center"/>
    </xf>
    <xf numFmtId="14" fontId="0" fillId="15" borderId="20" xfId="0" applyNumberFormat="1" applyFill="1" applyBorder="1" applyAlignment="1">
      <alignment horizontal="center"/>
    </xf>
    <xf numFmtId="14" fontId="0" fillId="15" borderId="0" xfId="0" applyNumberFormat="1" applyFill="1" applyAlignment="1">
      <alignment horizontal="center"/>
    </xf>
    <xf numFmtId="0" fontId="0" fillId="15" borderId="21" xfId="0" applyFill="1" applyBorder="1" applyAlignment="1">
      <alignment horizontal="center"/>
    </xf>
    <xf numFmtId="0" fontId="8" fillId="15" borderId="21" xfId="0" applyFont="1" applyFill="1" applyBorder="1" applyAlignment="1">
      <alignment horizontal="center"/>
    </xf>
    <xf numFmtId="14" fontId="8" fillId="15" borderId="20" xfId="0" applyNumberFormat="1" applyFont="1" applyFill="1" applyBorder="1" applyAlignment="1">
      <alignment horizontal="center"/>
    </xf>
    <xf numFmtId="14" fontId="8" fillId="15" borderId="0" xfId="0" applyNumberFormat="1" applyFont="1" applyFill="1" applyAlignment="1">
      <alignment horizontal="center"/>
    </xf>
    <xf numFmtId="0" fontId="3" fillId="15" borderId="0" xfId="0" applyFont="1" applyFill="1" applyAlignment="1">
      <alignment horizontal="center"/>
    </xf>
    <xf numFmtId="0" fontId="3" fillId="15" borderId="21" xfId="0" applyFont="1" applyFill="1" applyBorder="1" applyAlignment="1">
      <alignment horizontal="center"/>
    </xf>
    <xf numFmtId="0" fontId="0" fillId="0" borderId="27" xfId="0" applyBorder="1" applyAlignment="1">
      <alignment horizontal="right"/>
    </xf>
    <xf numFmtId="0" fontId="3" fillId="0" borderId="27" xfId="0" applyFont="1" applyBorder="1" applyAlignment="1">
      <alignment horizontal="right"/>
    </xf>
    <xf numFmtId="0" fontId="0" fillId="0" borderId="28" xfId="0" applyBorder="1" applyAlignment="1">
      <alignment horizontal="center"/>
    </xf>
    <xf numFmtId="14" fontId="0" fillId="0" borderId="29" xfId="0" applyNumberForma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/>
    <xf numFmtId="0" fontId="8" fillId="0" borderId="31" xfId="0" applyFont="1" applyBorder="1" applyAlignment="1">
      <alignment horizontal="center"/>
    </xf>
    <xf numFmtId="14" fontId="4" fillId="4" borderId="33" xfId="0" applyNumberFormat="1" applyFont="1" applyFill="1" applyBorder="1" applyAlignment="1">
      <alignment horizontal="center"/>
    </xf>
    <xf numFmtId="14" fontId="8" fillId="0" borderId="29" xfId="0" applyNumberFormat="1" applyFont="1" applyBorder="1" applyAlignment="1">
      <alignment horizontal="center"/>
    </xf>
    <xf numFmtId="14" fontId="8" fillId="0" borderId="30" xfId="0" applyNumberFormat="1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14" fontId="4" fillId="13" borderId="36" xfId="0" applyNumberFormat="1" applyFont="1" applyFill="1" applyBorder="1" applyAlignment="1">
      <alignment horizontal="center"/>
    </xf>
    <xf numFmtId="14" fontId="4" fillId="14" borderId="28" xfId="0" applyNumberFormat="1" applyFont="1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14" fontId="8" fillId="11" borderId="30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4" borderId="0" xfId="0" applyFill="1"/>
    <xf numFmtId="0" fontId="0" fillId="16" borderId="0" xfId="0" applyFill="1"/>
    <xf numFmtId="0" fontId="0" fillId="8" borderId="0" xfId="0" applyFill="1"/>
    <xf numFmtId="0" fontId="0" fillId="17" borderId="0" xfId="0" applyFill="1"/>
    <xf numFmtId="0" fontId="0" fillId="18" borderId="0" xfId="0" applyFill="1"/>
    <xf numFmtId="0" fontId="0" fillId="3" borderId="0" xfId="0" applyFill="1"/>
    <xf numFmtId="14" fontId="0" fillId="19" borderId="0" xfId="0" applyNumberFormat="1" applyFill="1"/>
    <xf numFmtId="0" fontId="0" fillId="20" borderId="0" xfId="0" applyFill="1"/>
    <xf numFmtId="0" fontId="5" fillId="2" borderId="13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44" fontId="5" fillId="2" borderId="13" xfId="1" applyFont="1" applyFill="1" applyBorder="1" applyAlignment="1">
      <alignment horizontal="center"/>
    </xf>
    <xf numFmtId="44" fontId="5" fillId="2" borderId="14" xfId="1" applyFont="1" applyFill="1" applyBorder="1" applyAlignment="1">
      <alignment horizontal="center"/>
    </xf>
    <xf numFmtId="44" fontId="5" fillId="2" borderId="15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14"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10E1-216C-4B20-A5A1-EE9CBF79D4F1}">
  <dimension ref="B1:DS45"/>
  <sheetViews>
    <sheetView tabSelected="1" topLeftCell="BZ1" workbookViewId="0">
      <selection activeCell="CO12" sqref="CO12"/>
    </sheetView>
  </sheetViews>
  <sheetFormatPr defaultRowHeight="14.4" outlineLevelCol="1" x14ac:dyDescent="0.3"/>
  <cols>
    <col min="2" max="2" width="10.21875" style="89" customWidth="1"/>
    <col min="3" max="3" width="27.21875" style="89" bestFit="1" customWidth="1"/>
    <col min="4" max="4" width="12.5546875" customWidth="1"/>
    <col min="5" max="5" width="1.44140625" customWidth="1"/>
    <col min="6" max="6" width="15" customWidth="1" outlineLevel="1"/>
    <col min="7" max="7" width="14.44140625" customWidth="1" outlineLevel="1"/>
    <col min="8" max="8" width="12.5546875" customWidth="1" outlineLevel="1"/>
    <col min="9" max="9" width="0.77734375" customWidth="1"/>
    <col min="10" max="10" width="14.21875" customWidth="1" outlineLevel="1"/>
    <col min="11" max="12" width="12.5546875" customWidth="1" outlineLevel="1"/>
    <col min="13" max="13" width="0.77734375" customWidth="1"/>
    <col min="14" max="16" width="12.5546875" customWidth="1" outlineLevel="1"/>
    <col min="17" max="17" width="17" bestFit="1" customWidth="1"/>
    <col min="18" max="18" width="1.44140625" customWidth="1"/>
    <col min="19" max="20" width="14.44140625" customWidth="1"/>
    <col min="21" max="21" width="14.44140625" customWidth="1" outlineLevel="1"/>
    <col min="22" max="22" width="0.77734375" customWidth="1"/>
    <col min="23" max="24" width="14.44140625" customWidth="1"/>
    <col min="25" max="25" width="14.44140625" customWidth="1" outlineLevel="1"/>
    <col min="26" max="26" width="0.77734375" customWidth="1"/>
    <col min="27" max="28" width="14.44140625" customWidth="1"/>
    <col min="29" max="29" width="14.44140625" customWidth="1" outlineLevel="1"/>
    <col min="30" max="30" width="0.77734375" customWidth="1"/>
    <col min="31" max="32" width="14.44140625" customWidth="1"/>
    <col min="33" max="33" width="14.44140625" customWidth="1" outlineLevel="1"/>
    <col min="34" max="34" width="0.77734375" customWidth="1"/>
    <col min="35" max="36" width="14.44140625" customWidth="1"/>
    <col min="37" max="37" width="9.5546875" customWidth="1" outlineLevel="1"/>
    <col min="38" max="38" width="0.77734375" customWidth="1"/>
    <col min="39" max="40" width="14.44140625" customWidth="1"/>
    <col min="41" max="41" width="14.44140625" customWidth="1" outlineLevel="1"/>
    <col min="42" max="42" width="0.77734375" customWidth="1"/>
    <col min="43" max="44" width="14.44140625" customWidth="1"/>
    <col min="45" max="45" width="8.77734375" bestFit="1" customWidth="1"/>
    <col min="46" max="46" width="9.5546875" customWidth="1" outlineLevel="1"/>
    <col min="47" max="47" width="0.77734375" customWidth="1"/>
    <col min="48" max="49" width="14.44140625" customWidth="1"/>
    <col min="50" max="50" width="14.44140625" customWidth="1" outlineLevel="1"/>
    <col min="51" max="51" width="0.77734375" customWidth="1"/>
    <col min="52" max="53" width="14.44140625" customWidth="1"/>
    <col min="54" max="54" width="9.5546875" customWidth="1" outlineLevel="1"/>
    <col min="55" max="55" width="0.77734375" customWidth="1"/>
    <col min="56" max="57" width="14.44140625" customWidth="1"/>
    <col min="58" max="58" width="14.44140625" customWidth="1" outlineLevel="1"/>
    <col min="59" max="59" width="0.77734375" customWidth="1"/>
    <col min="60" max="61" width="14.44140625" customWidth="1"/>
    <col min="62" max="62" width="14.44140625" customWidth="1" outlineLevel="1"/>
    <col min="63" max="63" width="0.77734375" customWidth="1"/>
    <col min="64" max="65" width="14.44140625" customWidth="1"/>
    <col min="66" max="66" width="14.44140625" customWidth="1" outlineLevel="1"/>
    <col min="67" max="67" width="0.77734375" customWidth="1"/>
    <col min="68" max="69" width="14.44140625" customWidth="1"/>
    <col min="70" max="70" width="14.44140625" customWidth="1" outlineLevel="1"/>
    <col min="71" max="71" width="0.77734375" customWidth="1"/>
    <col min="72" max="73" width="14.44140625" customWidth="1"/>
    <col min="74" max="74" width="14.44140625" customWidth="1" outlineLevel="1"/>
    <col min="75" max="75" width="0.77734375" customWidth="1"/>
    <col min="76" max="77" width="14.44140625" customWidth="1"/>
    <col min="78" max="78" width="14.44140625" customWidth="1" outlineLevel="1"/>
    <col min="79" max="79" width="0.77734375" customWidth="1"/>
    <col min="80" max="81" width="14.44140625" customWidth="1"/>
    <col min="82" max="82" width="9.5546875" customWidth="1" outlineLevel="1"/>
    <col min="83" max="83" width="0.77734375" customWidth="1"/>
    <col min="84" max="85" width="14.44140625" customWidth="1"/>
    <col min="86" max="86" width="9.5546875" customWidth="1" outlineLevel="1"/>
    <col min="87" max="87" width="0.77734375" customWidth="1"/>
    <col min="88" max="89" width="14.44140625" customWidth="1"/>
    <col min="90" max="90" width="14.44140625" customWidth="1" outlineLevel="1"/>
    <col min="91" max="91" width="0.77734375" customWidth="1"/>
    <col min="92" max="92" width="17.77734375" customWidth="1"/>
    <col min="93" max="93" width="16.33203125" customWidth="1"/>
    <col min="94" max="94" width="0.77734375" customWidth="1"/>
    <col min="95" max="95" width="13.21875" customWidth="1" outlineLevel="1"/>
    <col min="96" max="96" width="11.77734375" customWidth="1" outlineLevel="1"/>
    <col min="97" max="97" width="7.6640625" customWidth="1" outlineLevel="1"/>
    <col min="98" max="98" width="0.77734375" customWidth="1" outlineLevel="1"/>
    <col min="99" max="99" width="13.77734375" customWidth="1" outlineLevel="1"/>
    <col min="100" max="100" width="13.21875" customWidth="1" outlineLevel="1"/>
    <col min="101" max="101" width="7.33203125" customWidth="1" outlineLevel="1"/>
    <col min="102" max="102" width="0.77734375" customWidth="1" outlineLevel="1"/>
    <col min="103" max="103" width="13.109375" customWidth="1" outlineLevel="1"/>
    <col min="104" max="104" width="13.21875" customWidth="1" outlineLevel="1"/>
    <col min="105" max="105" width="7.33203125" customWidth="1" outlineLevel="1"/>
    <col min="106" max="106" width="0.88671875" customWidth="1" outlineLevel="1"/>
    <col min="107" max="107" width="13.5546875" customWidth="1" outlineLevel="1"/>
    <col min="108" max="108" width="14.77734375" customWidth="1" outlineLevel="1"/>
    <col min="109" max="109" width="8.21875" customWidth="1" outlineLevel="1"/>
    <col min="110" max="110" width="0.77734375" customWidth="1" outlineLevel="1"/>
    <col min="111" max="111" width="13.6640625" customWidth="1" outlineLevel="1"/>
    <col min="112" max="112" width="13.44140625" customWidth="1" outlineLevel="1"/>
    <col min="113" max="113" width="7.109375" customWidth="1" outlineLevel="1"/>
    <col min="114" max="114" width="7.77734375" customWidth="1"/>
  </cols>
  <sheetData>
    <row r="1" spans="2:123" ht="15" thickBot="1" x14ac:dyDescent="0.35">
      <c r="B1" s="113" t="s">
        <v>0</v>
      </c>
      <c r="C1" s="114"/>
      <c r="D1" s="114"/>
      <c r="E1" s="114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" t="s">
        <v>1</v>
      </c>
      <c r="Q1" s="2">
        <v>45839</v>
      </c>
      <c r="S1" s="116" t="s">
        <v>2</v>
      </c>
      <c r="T1" s="116"/>
      <c r="U1" s="116"/>
      <c r="V1" s="117"/>
      <c r="W1" s="116"/>
      <c r="X1" s="116"/>
      <c r="Y1" s="116"/>
      <c r="Z1" s="117"/>
      <c r="AA1" s="116"/>
      <c r="AB1" s="116"/>
      <c r="AC1" s="116"/>
      <c r="AD1" s="117"/>
      <c r="AE1" s="116"/>
      <c r="AF1" s="116"/>
      <c r="AG1" s="116"/>
      <c r="AH1" s="3"/>
      <c r="AI1" s="118" t="s">
        <v>3</v>
      </c>
      <c r="AJ1" s="118"/>
      <c r="AK1" s="118"/>
      <c r="AL1" s="119"/>
      <c r="AM1" s="118"/>
      <c r="AN1" s="118"/>
      <c r="AO1" s="118"/>
      <c r="AP1" s="119"/>
      <c r="AQ1" s="118"/>
      <c r="AR1" s="118"/>
      <c r="AS1" s="118"/>
      <c r="AT1" s="118"/>
      <c r="AU1" s="119"/>
      <c r="AV1" s="118"/>
      <c r="AW1" s="118"/>
      <c r="AX1" s="118"/>
      <c r="AY1" s="3"/>
      <c r="AZ1" s="120" t="s">
        <v>4</v>
      </c>
      <c r="BA1" s="120"/>
      <c r="BB1" s="120"/>
      <c r="BC1" s="121"/>
      <c r="BD1" s="120"/>
      <c r="BE1" s="120"/>
      <c r="BF1" s="120"/>
      <c r="BG1" s="121"/>
      <c r="BH1" s="120"/>
      <c r="BI1" s="120"/>
      <c r="BJ1" s="120"/>
      <c r="BK1" s="121"/>
      <c r="BL1" s="120"/>
      <c r="BM1" s="120"/>
      <c r="BN1" s="120"/>
      <c r="BO1" s="122"/>
      <c r="BP1" s="123"/>
      <c r="BQ1" s="123"/>
      <c r="BR1" s="123"/>
      <c r="BS1" s="122"/>
      <c r="BT1" s="123"/>
      <c r="BU1" s="123"/>
      <c r="BV1" s="123"/>
      <c r="BX1" s="124" t="s">
        <v>5</v>
      </c>
      <c r="BY1" s="124"/>
      <c r="BZ1" s="124"/>
      <c r="CA1" s="4"/>
      <c r="CB1" s="5"/>
      <c r="CC1" s="5"/>
      <c r="CD1" s="5"/>
      <c r="CE1" s="5"/>
      <c r="CF1" s="104" t="s">
        <v>6</v>
      </c>
      <c r="CG1" s="104"/>
      <c r="CH1" s="104"/>
      <c r="CI1" s="104"/>
      <c r="CJ1" s="104"/>
      <c r="CK1" s="104"/>
      <c r="CL1" s="104"/>
      <c r="CM1" s="104"/>
      <c r="CN1" s="105"/>
      <c r="CO1" s="6">
        <v>45839</v>
      </c>
      <c r="CP1" s="7"/>
      <c r="CQ1" s="106" t="s">
        <v>7</v>
      </c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8"/>
      <c r="DJ1" s="8" t="s">
        <v>8</v>
      </c>
    </row>
    <row r="2" spans="2:123" x14ac:dyDescent="0.3">
      <c r="B2" s="9" t="s">
        <v>9</v>
      </c>
      <c r="C2" s="109" t="s">
        <v>10</v>
      </c>
      <c r="D2" s="109"/>
      <c r="F2" s="110" t="s">
        <v>11</v>
      </c>
      <c r="G2" s="111"/>
      <c r="H2" s="112"/>
      <c r="I2" s="10"/>
      <c r="J2" s="110" t="s">
        <v>12</v>
      </c>
      <c r="K2" s="111"/>
      <c r="L2" s="112"/>
      <c r="M2" s="10"/>
      <c r="N2" s="101" t="s">
        <v>13</v>
      </c>
      <c r="O2" s="102"/>
      <c r="P2" s="103"/>
      <c r="Q2" s="11" t="s">
        <v>14</v>
      </c>
      <c r="S2" s="101" t="s">
        <v>15</v>
      </c>
      <c r="T2" s="102"/>
      <c r="U2" s="103"/>
      <c r="W2" s="101" t="s">
        <v>16</v>
      </c>
      <c r="X2" s="102"/>
      <c r="Y2" s="103"/>
      <c r="AA2" s="101" t="s">
        <v>17</v>
      </c>
      <c r="AB2" s="102"/>
      <c r="AC2" s="103"/>
      <c r="AE2" s="101" t="s">
        <v>18</v>
      </c>
      <c r="AF2" s="102"/>
      <c r="AG2" s="103"/>
      <c r="AI2" s="101" t="s">
        <v>19</v>
      </c>
      <c r="AJ2" s="102"/>
      <c r="AK2" s="103"/>
      <c r="AM2" s="101" t="s">
        <v>20</v>
      </c>
      <c r="AN2" s="102"/>
      <c r="AO2" s="103"/>
      <c r="AQ2" s="101" t="s">
        <v>21</v>
      </c>
      <c r="AR2" s="102"/>
      <c r="AS2" s="102"/>
      <c r="AT2" s="103"/>
      <c r="AV2" s="101" t="s">
        <v>22</v>
      </c>
      <c r="AW2" s="102"/>
      <c r="AX2" s="103"/>
      <c r="AZ2" s="101" t="s">
        <v>23</v>
      </c>
      <c r="BA2" s="102"/>
      <c r="BB2" s="103"/>
      <c r="BD2" s="101" t="s">
        <v>24</v>
      </c>
      <c r="BE2" s="102"/>
      <c r="BF2" s="103"/>
      <c r="BH2" s="101" t="s">
        <v>25</v>
      </c>
      <c r="BI2" s="102"/>
      <c r="BJ2" s="103"/>
      <c r="BL2" s="101" t="s">
        <v>26</v>
      </c>
      <c r="BM2" s="102"/>
      <c r="BN2" s="103"/>
      <c r="BP2" s="101" t="s">
        <v>27</v>
      </c>
      <c r="BQ2" s="102"/>
      <c r="BR2" s="103"/>
      <c r="BT2" s="101" t="s">
        <v>28</v>
      </c>
      <c r="BU2" s="102"/>
      <c r="BV2" s="103"/>
      <c r="BX2" s="101" t="s">
        <v>29</v>
      </c>
      <c r="BY2" s="102"/>
      <c r="BZ2" s="103"/>
      <c r="CB2" s="101" t="s">
        <v>30</v>
      </c>
      <c r="CC2" s="102"/>
      <c r="CD2" s="103"/>
      <c r="CF2" s="101" t="s">
        <v>31</v>
      </c>
      <c r="CG2" s="102"/>
      <c r="CH2" s="103"/>
      <c r="CJ2" s="101" t="s">
        <v>32</v>
      </c>
      <c r="CK2" s="102"/>
      <c r="CL2" s="103"/>
      <c r="CN2" s="12" t="s">
        <v>6</v>
      </c>
      <c r="CO2" s="13" t="s">
        <v>14</v>
      </c>
      <c r="CQ2" s="101" t="s">
        <v>33</v>
      </c>
      <c r="CR2" s="102"/>
      <c r="CS2" s="103"/>
      <c r="CT2" s="14"/>
      <c r="CU2" s="101" t="s">
        <v>34</v>
      </c>
      <c r="CV2" s="102"/>
      <c r="CW2" s="103"/>
      <c r="CX2" s="14"/>
      <c r="CY2" s="101" t="s">
        <v>35</v>
      </c>
      <c r="CZ2" s="102"/>
      <c r="DA2" s="103"/>
      <c r="DB2" s="14"/>
      <c r="DC2" s="101" t="s">
        <v>36</v>
      </c>
      <c r="DD2" s="102"/>
      <c r="DE2" s="103"/>
      <c r="DF2" s="15"/>
      <c r="DG2" s="101" t="s">
        <v>37</v>
      </c>
      <c r="DH2" s="102"/>
      <c r="DI2" s="103"/>
    </row>
    <row r="3" spans="2:123" s="18" customFormat="1" ht="13.5" customHeight="1" x14ac:dyDescent="0.25">
      <c r="B3" s="16"/>
      <c r="C3" s="17"/>
      <c r="D3" s="17"/>
      <c r="F3" s="19" t="str">
        <f>F2</f>
        <v>PROSPECÇÃO</v>
      </c>
      <c r="G3" s="20" t="str">
        <f>F2</f>
        <v>PROSPECÇÃO</v>
      </c>
      <c r="H3" s="21"/>
      <c r="J3" s="19" t="str">
        <f>J2</f>
        <v>LEGALIZAÇÃO PARA VENDA</v>
      </c>
      <c r="K3" s="20" t="str">
        <f>J2</f>
        <v>LEGALIZAÇÃO PARA VENDA</v>
      </c>
      <c r="L3" s="21"/>
      <c r="N3" s="22" t="str">
        <f>N2</f>
        <v>PULMÃO VENDA</v>
      </c>
      <c r="O3" s="23" t="str">
        <f>N2</f>
        <v>PULMÃO VENDA</v>
      </c>
      <c r="P3" s="24"/>
      <c r="Q3" s="25"/>
      <c r="S3" s="26" t="str">
        <f>S2</f>
        <v>PL.LIMP</v>
      </c>
      <c r="T3" s="17" t="str">
        <f>S2</f>
        <v>PL.LIMP</v>
      </c>
      <c r="U3" s="27"/>
      <c r="W3" s="26" t="str">
        <f>W2</f>
        <v>LEG.LIMP</v>
      </c>
      <c r="X3" s="17" t="str">
        <f>W2</f>
        <v>LEG.LIMP</v>
      </c>
      <c r="Y3" s="27"/>
      <c r="AA3" s="26" t="str">
        <f>AA2</f>
        <v>ENG. LIMP.</v>
      </c>
      <c r="AB3" s="17" t="str">
        <f>AA2</f>
        <v>ENG. LIMP.</v>
      </c>
      <c r="AC3" s="27"/>
      <c r="AE3" s="26" t="str">
        <f>AE2</f>
        <v>EXECUÇÃO LIMP.</v>
      </c>
      <c r="AF3" s="17" t="str">
        <f>AE2</f>
        <v>EXECUÇÃO LIMP.</v>
      </c>
      <c r="AG3" s="27"/>
      <c r="AI3" s="26" t="str">
        <f>AI2</f>
        <v>PL.TER.</v>
      </c>
      <c r="AJ3" s="17" t="str">
        <f>AI2</f>
        <v>PL.TER.</v>
      </c>
      <c r="AK3" s="27"/>
      <c r="AM3" s="26" t="str">
        <f>AM2</f>
        <v>LEG.TER.</v>
      </c>
      <c r="AN3" s="17" t="str">
        <f>AM2</f>
        <v>LEG.TER.</v>
      </c>
      <c r="AO3" s="27"/>
      <c r="AQ3" s="26" t="str">
        <f>AQ2</f>
        <v>ENG. TER.</v>
      </c>
      <c r="AR3" s="17" t="str">
        <f>AQ2</f>
        <v>ENG. TER.</v>
      </c>
      <c r="AS3" s="17"/>
      <c r="AT3" s="27"/>
      <c r="AV3" s="26" t="str">
        <f>AV2</f>
        <v>EXECUÇÃO TER.</v>
      </c>
      <c r="AW3" s="17" t="str">
        <f>AV2</f>
        <v>EXECUÇÃO TER.</v>
      </c>
      <c r="AX3" s="27"/>
      <c r="AZ3" s="26" t="str">
        <f>AZ2</f>
        <v>PL.INFRA</v>
      </c>
      <c r="BA3" s="17" t="str">
        <f>AZ2</f>
        <v>PL.INFRA</v>
      </c>
      <c r="BB3" s="27"/>
      <c r="BD3" s="26" t="str">
        <f>BD2</f>
        <v>LEG.INFRA</v>
      </c>
      <c r="BE3" s="17" t="str">
        <f>BD2</f>
        <v>LEG.INFRA</v>
      </c>
      <c r="BF3" s="27"/>
      <c r="BH3" s="26" t="str">
        <f>BH2</f>
        <v>ENG. INFRA</v>
      </c>
      <c r="BI3" s="17" t="str">
        <f>BH2</f>
        <v>ENG. INFRA</v>
      </c>
      <c r="BJ3" s="27"/>
      <c r="BL3" s="26" t="str">
        <f>BL2</f>
        <v>EXECUÇÃO INFRA</v>
      </c>
      <c r="BM3" s="17" t="str">
        <f>BL2</f>
        <v>EXECUÇÃO INFRA</v>
      </c>
      <c r="BN3" s="27"/>
      <c r="BP3" s="26" t="str">
        <f>BP2</f>
        <v>ENG. PAV</v>
      </c>
      <c r="BQ3" s="17" t="str">
        <f>BP2</f>
        <v>ENG. PAV</v>
      </c>
      <c r="BR3" s="27"/>
      <c r="BT3" s="26" t="str">
        <f>BT2</f>
        <v>EXECUÇÃO PAV.</v>
      </c>
      <c r="BU3" s="17" t="str">
        <f>BT2</f>
        <v>EXECUÇÃO PAV.</v>
      </c>
      <c r="BV3" s="27"/>
      <c r="BX3" s="26" t="str">
        <f>BX2</f>
        <v>PULMÃO INFRA</v>
      </c>
      <c r="BY3" s="17" t="str">
        <f>BX2</f>
        <v>PULMÃO INFRA</v>
      </c>
      <c r="BZ3" s="27" t="s">
        <v>29</v>
      </c>
      <c r="CB3" s="26" t="str">
        <f>CB2</f>
        <v>PL.RADIER</v>
      </c>
      <c r="CC3" s="17" t="str">
        <f>CB2</f>
        <v>PL.RADIER</v>
      </c>
      <c r="CD3" s="27"/>
      <c r="CF3" s="26" t="str">
        <f>CF2</f>
        <v>LEG.RADIER</v>
      </c>
      <c r="CG3" s="17" t="str">
        <f>CF2</f>
        <v>LEG.RADIER</v>
      </c>
      <c r="CH3" s="27"/>
      <c r="CJ3" s="22" t="str">
        <f>CJ2</f>
        <v>PULMÃO RADIER</v>
      </c>
      <c r="CK3" s="23" t="str">
        <f>CJ2</f>
        <v>PULMÃO RADIER</v>
      </c>
      <c r="CL3" s="24"/>
      <c r="CN3" s="28" t="str">
        <f>CN2</f>
        <v>RADIER</v>
      </c>
      <c r="CO3" s="29" t="str">
        <f>CO2</f>
        <v>DEMANDA MÍNIMA</v>
      </c>
      <c r="CQ3" s="22"/>
      <c r="CR3" s="23"/>
      <c r="CS3" s="24"/>
      <c r="CT3" s="23"/>
      <c r="CU3" s="22"/>
      <c r="CV3" s="23"/>
      <c r="CW3" s="24"/>
      <c r="CX3" s="23"/>
      <c r="CY3" s="22"/>
      <c r="CZ3" s="23"/>
      <c r="DA3" s="24"/>
      <c r="DB3" s="23"/>
      <c r="DC3" s="22"/>
      <c r="DD3" s="23"/>
      <c r="DE3" s="24"/>
      <c r="DF3" s="23"/>
      <c r="DG3" s="22"/>
      <c r="DH3" s="23"/>
      <c r="DI3" s="24"/>
      <c r="DS3" s="18" t="s">
        <v>38</v>
      </c>
    </row>
    <row r="4" spans="2:123" x14ac:dyDescent="0.3">
      <c r="B4" s="30" t="s">
        <v>39</v>
      </c>
      <c r="C4" s="30" t="s">
        <v>39</v>
      </c>
      <c r="D4" s="31" t="s">
        <v>40</v>
      </c>
      <c r="F4" s="32" t="s">
        <v>41</v>
      </c>
      <c r="G4" s="33" t="s">
        <v>42</v>
      </c>
      <c r="H4" s="34" t="s">
        <v>43</v>
      </c>
      <c r="J4" s="32" t="s">
        <v>41</v>
      </c>
      <c r="K4" s="33" t="s">
        <v>42</v>
      </c>
      <c r="L4" s="34" t="s">
        <v>43</v>
      </c>
      <c r="N4" s="32" t="s">
        <v>41</v>
      </c>
      <c r="O4" s="33" t="s">
        <v>42</v>
      </c>
      <c r="P4" s="34" t="s">
        <v>43</v>
      </c>
      <c r="Q4" s="35" t="s">
        <v>41</v>
      </c>
      <c r="S4" s="32" t="s">
        <v>41</v>
      </c>
      <c r="T4" s="33" t="s">
        <v>42</v>
      </c>
      <c r="U4" s="36" t="s">
        <v>44</v>
      </c>
      <c r="W4" s="32" t="s">
        <v>41</v>
      </c>
      <c r="X4" s="33" t="s">
        <v>42</v>
      </c>
      <c r="Y4" s="36" t="s">
        <v>44</v>
      </c>
      <c r="AA4" s="32" t="s">
        <v>41</v>
      </c>
      <c r="AB4" s="33" t="s">
        <v>42</v>
      </c>
      <c r="AC4" s="34" t="s">
        <v>44</v>
      </c>
      <c r="AE4" s="32" t="s">
        <v>41</v>
      </c>
      <c r="AF4" s="33" t="s">
        <v>42</v>
      </c>
      <c r="AG4" s="34" t="s">
        <v>43</v>
      </c>
      <c r="AI4" s="32" t="s">
        <v>41</v>
      </c>
      <c r="AJ4" s="33" t="s">
        <v>42</v>
      </c>
      <c r="AK4" s="36" t="s">
        <v>44</v>
      </c>
      <c r="AM4" s="32" t="s">
        <v>41</v>
      </c>
      <c r="AN4" s="33" t="s">
        <v>42</v>
      </c>
      <c r="AO4" s="36" t="s">
        <v>44</v>
      </c>
      <c r="AQ4" s="37" t="s">
        <v>41</v>
      </c>
      <c r="AR4" s="38" t="s">
        <v>42</v>
      </c>
      <c r="AS4" s="38" t="s">
        <v>45</v>
      </c>
      <c r="AT4" s="39" t="s">
        <v>44</v>
      </c>
      <c r="AV4" s="32" t="s">
        <v>41</v>
      </c>
      <c r="AW4" s="33" t="s">
        <v>42</v>
      </c>
      <c r="AX4" s="34" t="s">
        <v>43</v>
      </c>
      <c r="AZ4" s="32" t="s">
        <v>41</v>
      </c>
      <c r="BA4" s="33" t="s">
        <v>42</v>
      </c>
      <c r="BB4" s="36" t="s">
        <v>44</v>
      </c>
      <c r="BD4" s="32" t="s">
        <v>41</v>
      </c>
      <c r="BE4" s="33" t="s">
        <v>42</v>
      </c>
      <c r="BF4" s="36" t="s">
        <v>44</v>
      </c>
      <c r="BH4" s="32" t="s">
        <v>41</v>
      </c>
      <c r="BI4" s="33" t="s">
        <v>42</v>
      </c>
      <c r="BJ4" s="34" t="s">
        <v>44</v>
      </c>
      <c r="BL4" s="32" t="s">
        <v>41</v>
      </c>
      <c r="BM4" s="33" t="s">
        <v>42</v>
      </c>
      <c r="BN4" s="34" t="s">
        <v>43</v>
      </c>
      <c r="BP4" s="32" t="s">
        <v>41</v>
      </c>
      <c r="BQ4" s="33" t="s">
        <v>42</v>
      </c>
      <c r="BR4" s="34" t="s">
        <v>44</v>
      </c>
      <c r="BT4" s="32" t="s">
        <v>41</v>
      </c>
      <c r="BU4" s="33" t="s">
        <v>42</v>
      </c>
      <c r="BV4" s="34" t="s">
        <v>43</v>
      </c>
      <c r="BX4" s="32" t="s">
        <v>41</v>
      </c>
      <c r="BY4" s="33" t="s">
        <v>42</v>
      </c>
      <c r="BZ4" s="34" t="s">
        <v>43</v>
      </c>
      <c r="CB4" s="32" t="s">
        <v>41</v>
      </c>
      <c r="CC4" s="33" t="s">
        <v>42</v>
      </c>
      <c r="CD4" s="34" t="s">
        <v>46</v>
      </c>
      <c r="CF4" s="32" t="s">
        <v>41</v>
      </c>
      <c r="CG4" s="33" t="s">
        <v>42</v>
      </c>
      <c r="CH4" s="34" t="s">
        <v>43</v>
      </c>
      <c r="CJ4" s="32" t="s">
        <v>41</v>
      </c>
      <c r="CK4" s="33" t="s">
        <v>42</v>
      </c>
      <c r="CL4" s="34" t="s">
        <v>43</v>
      </c>
      <c r="CN4" s="40" t="s">
        <v>41</v>
      </c>
      <c r="CO4" s="41" t="s">
        <v>41</v>
      </c>
      <c r="CQ4" s="32" t="s">
        <v>41</v>
      </c>
      <c r="CR4" s="33" t="s">
        <v>42</v>
      </c>
      <c r="CS4" s="36" t="s">
        <v>43</v>
      </c>
      <c r="CT4" s="33"/>
      <c r="CU4" s="32" t="s">
        <v>41</v>
      </c>
      <c r="CV4" s="33" t="s">
        <v>42</v>
      </c>
      <c r="CW4" s="36" t="s">
        <v>43</v>
      </c>
      <c r="CX4" s="33"/>
      <c r="CY4" s="32" t="s">
        <v>41</v>
      </c>
      <c r="CZ4" s="33" t="s">
        <v>42</v>
      </c>
      <c r="DA4" s="36" t="s">
        <v>43</v>
      </c>
      <c r="DB4" s="33"/>
      <c r="DC4" s="32" t="s">
        <v>41</v>
      </c>
      <c r="DD4" s="33" t="s">
        <v>42</v>
      </c>
      <c r="DE4" s="36" t="s">
        <v>43</v>
      </c>
      <c r="DF4" s="33"/>
      <c r="DG4" s="32" t="s">
        <v>41</v>
      </c>
      <c r="DH4" s="33" t="s">
        <v>42</v>
      </c>
      <c r="DI4" s="36" t="s">
        <v>43</v>
      </c>
      <c r="DJ4" s="41" t="s">
        <v>47</v>
      </c>
      <c r="DS4" t="s">
        <v>8</v>
      </c>
    </row>
    <row r="5" spans="2:123" x14ac:dyDescent="0.3">
      <c r="B5" s="42" t="s">
        <v>48</v>
      </c>
      <c r="C5" s="43" t="s">
        <v>49</v>
      </c>
      <c r="D5" s="44" t="s">
        <v>50</v>
      </c>
      <c r="F5" s="45">
        <f>EDATE(G5,-H5)</f>
        <v>45046</v>
      </c>
      <c r="G5" s="46">
        <f>EDATE(CO5,-36)-1</f>
        <v>45169</v>
      </c>
      <c r="H5" s="47">
        <v>4</v>
      </c>
      <c r="J5" s="45">
        <f>EDATE(K5,-L5)</f>
        <v>45532</v>
      </c>
      <c r="K5" s="46">
        <f t="shared" ref="K5:K13" si="0">WORKDAY(N5,-1)</f>
        <v>46262</v>
      </c>
      <c r="L5" s="47">
        <f t="shared" ref="L5:L27" si="1">IF(D5="Condomínio",18,24)</f>
        <v>24</v>
      </c>
      <c r="N5" s="45">
        <f>EDATE(O5,-P5)</f>
        <v>46265</v>
      </c>
      <c r="O5" s="46">
        <f t="shared" ref="O5:O13" si="2">WORKDAY(Q5,-1)</f>
        <v>46265</v>
      </c>
      <c r="P5" s="48">
        <f t="shared" ref="P5:P27" si="3">IF($DJ$1="Com Pulmão",6,0)</f>
        <v>0</v>
      </c>
      <c r="Q5" s="49">
        <f>CO5</f>
        <v>46266</v>
      </c>
      <c r="S5" s="50">
        <f>CB5</f>
        <v>45464</v>
      </c>
      <c r="T5" s="51">
        <f>WORKDAY(S5,U5)</f>
        <v>45513</v>
      </c>
      <c r="U5" s="47">
        <v>35</v>
      </c>
      <c r="W5" s="45">
        <f>WORKDAY(T5,1)</f>
        <v>45516</v>
      </c>
      <c r="X5" s="46">
        <f>WORKDAY(W5,Y5)</f>
        <v>45600</v>
      </c>
      <c r="Y5" s="47">
        <v>60</v>
      </c>
      <c r="AA5" s="45">
        <f>WORKDAY(X5,1)</f>
        <v>45601</v>
      </c>
      <c r="AB5" s="46">
        <f>WORKDAY(AA5,AC5)</f>
        <v>45685</v>
      </c>
      <c r="AC5" s="47">
        <v>60</v>
      </c>
      <c r="AE5" s="45">
        <f>EDATE(AF5,-AG5)</f>
        <v>45922</v>
      </c>
      <c r="AF5" s="46">
        <f>WORKDAY(AQ5,-1)</f>
        <v>45952</v>
      </c>
      <c r="AG5" s="47">
        <v>1</v>
      </c>
      <c r="AI5" s="45">
        <f>WORKDAY(CC5,1)</f>
        <v>45579</v>
      </c>
      <c r="AJ5" s="46">
        <f>WORKDAY(AI5,AK5)</f>
        <v>45614</v>
      </c>
      <c r="AK5" s="47">
        <v>25</v>
      </c>
      <c r="AM5" s="45">
        <f>WORKDAY(AJ5,1)</f>
        <v>45615</v>
      </c>
      <c r="AN5" s="46">
        <f>WORKDAY(AM5,AO5)</f>
        <v>45699</v>
      </c>
      <c r="AO5" s="47">
        <v>60</v>
      </c>
      <c r="AQ5" s="45">
        <f>WORKDAY(AR5,-(AT5+AS5))</f>
        <v>45953</v>
      </c>
      <c r="AR5" s="46">
        <f>WORKDAY(AV5,-1)</f>
        <v>46094</v>
      </c>
      <c r="AS5" s="52">
        <v>21</v>
      </c>
      <c r="AT5" s="53">
        <v>80</v>
      </c>
      <c r="AV5" s="45">
        <f>EDATE(AW5,-AX5)</f>
        <v>46095</v>
      </c>
      <c r="AW5" s="46">
        <f>WORKDAY(BX5,-1)</f>
        <v>46309</v>
      </c>
      <c r="AX5" s="47">
        <v>7</v>
      </c>
      <c r="AZ5" s="45">
        <f>WORKDAY(AJ5,1)</f>
        <v>45615</v>
      </c>
      <c r="BA5" s="46">
        <f>WORKDAY(AZ5,BB5)</f>
        <v>45657</v>
      </c>
      <c r="BB5" s="47">
        <v>30</v>
      </c>
      <c r="BD5" s="45">
        <f>WORKDAY(BA5,1)</f>
        <v>45658</v>
      </c>
      <c r="BE5" s="46">
        <f>WORKDAY(BD5,BF5)</f>
        <v>45875</v>
      </c>
      <c r="BF5" s="47">
        <v>155</v>
      </c>
      <c r="BH5" s="45">
        <f>WORKDAY(BI5,-BJ5)</f>
        <v>46029</v>
      </c>
      <c r="BI5" s="46">
        <f>WORKDAY(BL5,-1)</f>
        <v>46155</v>
      </c>
      <c r="BJ5" s="47">
        <v>90</v>
      </c>
      <c r="BL5" s="45">
        <f>EDATE(BM5,-BN5)</f>
        <v>46156</v>
      </c>
      <c r="BM5" s="46">
        <f>WORKDAY(BX5,-1)</f>
        <v>46309</v>
      </c>
      <c r="BN5" s="47">
        <v>5</v>
      </c>
      <c r="BP5" s="45">
        <f>WORKDAY(BQ5,-BR5)</f>
        <v>46111</v>
      </c>
      <c r="BQ5" s="46">
        <f>WORKDAY(BT5,-1)</f>
        <v>46216</v>
      </c>
      <c r="BR5" s="47">
        <v>75</v>
      </c>
      <c r="BT5" s="45">
        <f>EDATE(BU5,-BV5)</f>
        <v>46217</v>
      </c>
      <c r="BU5" s="46">
        <f>WORKDAY(BX5,-1)</f>
        <v>46309</v>
      </c>
      <c r="BV5" s="47">
        <v>3</v>
      </c>
      <c r="BX5" s="45">
        <f>EDATE(BY5,-BZ5)</f>
        <v>46310</v>
      </c>
      <c r="BY5" s="46">
        <f t="shared" ref="BY5:BY27" si="4">WORKDAY(CN5,-1)</f>
        <v>46310</v>
      </c>
      <c r="BZ5" s="48">
        <f t="shared" ref="BZ5:BZ27" si="5">IF($DJ$1="Com Pulmão",6,0)</f>
        <v>0</v>
      </c>
      <c r="CB5" s="50">
        <f>WORKDAY(CC5,-CD5)</f>
        <v>45464</v>
      </c>
      <c r="CC5" s="46">
        <f>WORKDAY(CF5,-1)</f>
        <v>45576</v>
      </c>
      <c r="CD5" s="47">
        <v>80</v>
      </c>
      <c r="CF5" s="50">
        <f>EDATE(CG5,-CH5)</f>
        <v>45579</v>
      </c>
      <c r="CG5" s="46">
        <f>WORKDAY(CJ5,-1)</f>
        <v>46309</v>
      </c>
      <c r="CH5" s="47">
        <f t="shared" ref="CH5:CH27" si="6">IF(D5="Condomínio",18,24)</f>
        <v>24</v>
      </c>
      <c r="CJ5" s="45">
        <f>EDATE(CK5,-CL5)</f>
        <v>46310</v>
      </c>
      <c r="CK5" s="46">
        <f>WORKDAY(CN5,-1)</f>
        <v>46310</v>
      </c>
      <c r="CL5" s="47">
        <f>IF($DJ$1="Com Pulmão",6,0)</f>
        <v>0</v>
      </c>
      <c r="CN5" s="54">
        <v>46311</v>
      </c>
      <c r="CO5" s="55">
        <v>46266</v>
      </c>
      <c r="CQ5" s="50">
        <f>EDATE(CU5,-CS5)</f>
        <v>46082</v>
      </c>
      <c r="CR5" s="46">
        <f>EDATE(CQ5,CS5)</f>
        <v>46143</v>
      </c>
      <c r="CS5" s="48">
        <v>2</v>
      </c>
      <c r="CT5" s="56"/>
      <c r="CU5" s="50">
        <f>EDATE(CY5,-CW5)</f>
        <v>46143</v>
      </c>
      <c r="CV5" s="46">
        <f>EDATE(CU5,CW5)</f>
        <v>46204</v>
      </c>
      <c r="CW5" s="48">
        <v>2</v>
      </c>
      <c r="CX5" s="56"/>
      <c r="CY5" s="50">
        <f>EDATE(DC5,-DA5)</f>
        <v>46204</v>
      </c>
      <c r="CZ5" s="46">
        <f>EDATE(CY5,DA5)</f>
        <v>46266</v>
      </c>
      <c r="DA5" s="48">
        <v>2</v>
      </c>
      <c r="DB5" s="56"/>
      <c r="DC5" s="50">
        <f>EDATE(DG5,-DE5)</f>
        <v>46266</v>
      </c>
      <c r="DD5" s="46">
        <f>EDATE(DC5,DE5)</f>
        <v>46327</v>
      </c>
      <c r="DE5" s="48">
        <v>2</v>
      </c>
      <c r="DF5" s="57"/>
      <c r="DG5" s="50">
        <f>EDATE(CO5,2)</f>
        <v>46327</v>
      </c>
      <c r="DH5" s="46">
        <f>EDATE(DG5,DI5)</f>
        <v>46539</v>
      </c>
      <c r="DI5" s="48">
        <v>7</v>
      </c>
      <c r="DJ5">
        <f>-NETWORKDAYS(CO5,CN5)</f>
        <v>-34</v>
      </c>
    </row>
    <row r="6" spans="2:123" x14ac:dyDescent="0.3">
      <c r="B6" s="58" t="s">
        <v>51</v>
      </c>
      <c r="C6" s="59" t="s">
        <v>52</v>
      </c>
      <c r="D6" s="60" t="s">
        <v>53</v>
      </c>
      <c r="F6" s="61">
        <f t="shared" ref="F6:F27" si="7">EDATE(G6,-H6)</f>
        <v>44620</v>
      </c>
      <c r="G6" s="62">
        <f t="shared" ref="G6:G27" si="8">EDATE(CO6,-36)-1</f>
        <v>44742</v>
      </c>
      <c r="H6" s="63">
        <v>4</v>
      </c>
      <c r="J6" s="61">
        <f t="shared" ref="J6:J27" si="9">EDATE(K6,-L6)</f>
        <v>45287</v>
      </c>
      <c r="K6" s="62">
        <f t="shared" si="0"/>
        <v>45835</v>
      </c>
      <c r="L6" s="63">
        <f t="shared" si="1"/>
        <v>18</v>
      </c>
      <c r="N6" s="61">
        <f t="shared" ref="N6:N27" si="10">EDATE(O6,-P6)</f>
        <v>45838</v>
      </c>
      <c r="O6" s="62">
        <f t="shared" si="2"/>
        <v>45838</v>
      </c>
      <c r="P6" s="64">
        <f t="shared" si="3"/>
        <v>0</v>
      </c>
      <c r="Q6" s="49">
        <f t="shared" ref="Q6:Q27" si="11">CO6</f>
        <v>45839</v>
      </c>
      <c r="S6" s="65">
        <f t="shared" ref="S6:S27" si="12">CB6</f>
        <v>45159</v>
      </c>
      <c r="T6" s="66">
        <f t="shared" ref="T6:T27" si="13">WORKDAY(S6,U6)</f>
        <v>45208</v>
      </c>
      <c r="U6" s="63">
        <v>35</v>
      </c>
      <c r="W6" s="61">
        <f t="shared" ref="W6:W27" si="14">WORKDAY(T6,1)</f>
        <v>45209</v>
      </c>
      <c r="X6" s="62">
        <f t="shared" ref="X6:X27" si="15">WORKDAY(W6,Y6)</f>
        <v>45293</v>
      </c>
      <c r="Y6" s="63">
        <v>60</v>
      </c>
      <c r="AA6" s="61">
        <f t="shared" ref="AA6:AA27" si="16">WORKDAY(X6,1)</f>
        <v>45294</v>
      </c>
      <c r="AB6" s="62">
        <f t="shared" ref="AB6:AB27" si="17">WORKDAY(AA6,AC6)</f>
        <v>45378</v>
      </c>
      <c r="AC6" s="63">
        <v>60</v>
      </c>
      <c r="AE6" s="61">
        <f t="shared" ref="AE6:AE27" si="18">EDATE(AF6,-AG6)</f>
        <v>45432</v>
      </c>
      <c r="AF6" s="62">
        <f t="shared" ref="AF6:AF27" si="19">WORKDAY(AQ6,-1)</f>
        <v>45463</v>
      </c>
      <c r="AG6" s="63">
        <v>1</v>
      </c>
      <c r="AI6" s="61">
        <f t="shared" ref="AI6:AI27" si="20">WORKDAY(CC6,1)</f>
        <v>45272</v>
      </c>
      <c r="AJ6" s="62">
        <f t="shared" ref="AJ6:AJ27" si="21">WORKDAY(AI6,AK6)</f>
        <v>45307</v>
      </c>
      <c r="AK6" s="63">
        <v>25</v>
      </c>
      <c r="AM6" s="61">
        <f t="shared" ref="AM6:AM27" si="22">WORKDAY(AJ6,1)</f>
        <v>45308</v>
      </c>
      <c r="AN6" s="62">
        <f t="shared" ref="AN6:AN27" si="23">WORKDAY(AM6,AO6)</f>
        <v>45392</v>
      </c>
      <c r="AO6" s="63">
        <v>60</v>
      </c>
      <c r="AQ6" s="61">
        <f t="shared" ref="AQ6:AQ27" si="24">WORKDAY(AR6,-(AT6+AS6))</f>
        <v>45464</v>
      </c>
      <c r="AR6" s="62">
        <f t="shared" ref="AR6:AR27" si="25">WORKDAY(AV6,-1)</f>
        <v>45607</v>
      </c>
      <c r="AS6" s="67">
        <v>21</v>
      </c>
      <c r="AT6" s="68">
        <v>80</v>
      </c>
      <c r="AV6" s="61">
        <f t="shared" ref="AV6:AV27" si="26">EDATE(AW6,-AX6)</f>
        <v>45608</v>
      </c>
      <c r="AW6" s="62">
        <f t="shared" ref="AW6:AW27" si="27">WORKDAY(BX6,-1)</f>
        <v>45820</v>
      </c>
      <c r="AX6" s="63">
        <v>7</v>
      </c>
      <c r="AZ6" s="61">
        <f t="shared" ref="AZ6:AZ27" si="28">WORKDAY(AJ6,1)</f>
        <v>45308</v>
      </c>
      <c r="BA6" s="62">
        <f t="shared" ref="BA6:BA27" si="29">WORKDAY(AZ6,BB6)</f>
        <v>45350</v>
      </c>
      <c r="BB6" s="63">
        <v>30</v>
      </c>
      <c r="BD6" s="61">
        <f t="shared" ref="BD6:BD27" si="30">WORKDAY(BA6,1)</f>
        <v>45351</v>
      </c>
      <c r="BE6" s="62">
        <f t="shared" ref="BE6:BE27" si="31">WORKDAY(BD6,BF6)</f>
        <v>45568</v>
      </c>
      <c r="BF6" s="63">
        <v>155</v>
      </c>
      <c r="BH6" s="61">
        <f t="shared" ref="BH6:BH27" si="32">WORKDAY(BI6,-BJ6)</f>
        <v>45541</v>
      </c>
      <c r="BI6" s="62">
        <f t="shared" ref="BI6:BI27" si="33">WORKDAY(BL6,-1)</f>
        <v>45667</v>
      </c>
      <c r="BJ6" s="63">
        <v>90</v>
      </c>
      <c r="BL6" s="61">
        <f t="shared" ref="BL6:BL27" si="34">EDATE(BM6,-BN6)</f>
        <v>45669</v>
      </c>
      <c r="BM6" s="62">
        <f t="shared" ref="BM6:BM27" si="35">BX6-1</f>
        <v>45820</v>
      </c>
      <c r="BN6" s="63">
        <v>5</v>
      </c>
      <c r="BP6" s="61">
        <f t="shared" ref="BP6:BP27" si="36">WORKDAY(BQ6,-BR6)</f>
        <v>45622</v>
      </c>
      <c r="BQ6" s="62">
        <f t="shared" ref="BQ6:BQ27" si="37">WORKDAY(BT6,-1)</f>
        <v>45727</v>
      </c>
      <c r="BR6" s="63">
        <v>75</v>
      </c>
      <c r="BT6" s="61">
        <f t="shared" ref="BT6:BT27" si="38">EDATE(BU6,-BV6)</f>
        <v>45728</v>
      </c>
      <c r="BU6" s="62">
        <f t="shared" ref="BU6:BU27" si="39">WORKDAY(BX6,-1)</f>
        <v>45820</v>
      </c>
      <c r="BV6" s="63">
        <v>3</v>
      </c>
      <c r="BX6" s="61">
        <f t="shared" ref="BX6:BX27" si="40">EDATE(BY6,-BZ6)</f>
        <v>45821</v>
      </c>
      <c r="BY6" s="62">
        <f t="shared" si="4"/>
        <v>45821</v>
      </c>
      <c r="BZ6" s="64">
        <f t="shared" si="5"/>
        <v>0</v>
      </c>
      <c r="CB6" s="65">
        <f t="shared" ref="CB6:CB27" si="41">WORKDAY(CC6,-CD6)</f>
        <v>45159</v>
      </c>
      <c r="CC6" s="66">
        <f t="shared" ref="CC6:CC27" si="42">WORKDAY(CF6,-1)</f>
        <v>45271</v>
      </c>
      <c r="CD6" s="63">
        <v>80</v>
      </c>
      <c r="CF6" s="65">
        <f t="shared" ref="CF6:CF27" si="43">EDATE(CG6,-CH6)</f>
        <v>45272</v>
      </c>
      <c r="CG6" s="66">
        <f t="shared" ref="CG6:CG27" si="44">WORKDAY(CJ6,-1)</f>
        <v>45820</v>
      </c>
      <c r="CH6" s="63">
        <f t="shared" si="6"/>
        <v>18</v>
      </c>
      <c r="CJ6" s="65">
        <f t="shared" ref="CJ6:CJ27" si="45">EDATE(CK6,-CL6)</f>
        <v>45821</v>
      </c>
      <c r="CK6" s="66">
        <f t="shared" ref="CK6:CK27" si="46">WORKDAY(CN6,-1)</f>
        <v>45821</v>
      </c>
      <c r="CL6" s="63">
        <f t="shared" ref="CL6:CL27" si="47">IF($DJ$1="Com Pulmão",6,0)</f>
        <v>0</v>
      </c>
      <c r="CN6" s="54">
        <v>45823</v>
      </c>
      <c r="CO6" s="55">
        <v>45839</v>
      </c>
      <c r="CQ6" s="65">
        <f t="shared" ref="CQ6:CQ27" si="48">EDATE(CU6,-CS6)</f>
        <v>45658</v>
      </c>
      <c r="CR6" s="66">
        <f t="shared" ref="CR6:CR27" si="49">EDATE(CQ6,CS6)</f>
        <v>45717</v>
      </c>
      <c r="CS6" s="64">
        <v>2</v>
      </c>
      <c r="CT6" s="56"/>
      <c r="CU6" s="65">
        <f t="shared" ref="CU6:CU27" si="50">EDATE(CY6,-CW6)</f>
        <v>45717</v>
      </c>
      <c r="CV6" s="66">
        <f t="shared" ref="CV6:CV27" si="51">EDATE(CU6,CW6)</f>
        <v>45778</v>
      </c>
      <c r="CW6" s="64">
        <v>2</v>
      </c>
      <c r="CX6" s="56"/>
      <c r="CY6" s="65">
        <f t="shared" ref="CY6:CY27" si="52">EDATE(DC6,-DA6)</f>
        <v>45778</v>
      </c>
      <c r="CZ6" s="66">
        <f t="shared" ref="CZ6:CZ27" si="53">EDATE(CY6,DA6)</f>
        <v>45839</v>
      </c>
      <c r="DA6" s="64">
        <v>2</v>
      </c>
      <c r="DB6" s="56"/>
      <c r="DC6" s="65">
        <f t="shared" ref="DC6:DC27" si="54">EDATE(DG6,-DE6)</f>
        <v>45839</v>
      </c>
      <c r="DD6" s="66">
        <f t="shared" ref="DD6:DD27" si="55">EDATE(DC6,DE6)</f>
        <v>45901</v>
      </c>
      <c r="DE6" s="64">
        <v>2</v>
      </c>
      <c r="DF6" s="57"/>
      <c r="DG6" s="65">
        <f t="shared" ref="DG6:DG27" si="56">EDATE(CO6,2)</f>
        <v>45901</v>
      </c>
      <c r="DH6" s="66">
        <f t="shared" ref="DH6:DH27" si="57">EDATE(DG6,DI6)</f>
        <v>46113</v>
      </c>
      <c r="DI6" s="64">
        <v>7</v>
      </c>
      <c r="DJ6">
        <f t="shared" ref="DJ6:DJ28" si="58">-NETWORKDAYS(CO6,CN6)</f>
        <v>12</v>
      </c>
    </row>
    <row r="7" spans="2:123" x14ac:dyDescent="0.3">
      <c r="B7" s="42" t="s">
        <v>51</v>
      </c>
      <c r="C7" s="43" t="s">
        <v>54</v>
      </c>
      <c r="D7" s="44" t="s">
        <v>53</v>
      </c>
      <c r="F7" s="45">
        <f t="shared" si="7"/>
        <v>44834</v>
      </c>
      <c r="G7" s="46">
        <f t="shared" si="8"/>
        <v>44957</v>
      </c>
      <c r="H7" s="47">
        <v>4</v>
      </c>
      <c r="J7" s="45">
        <f t="shared" si="9"/>
        <v>45502</v>
      </c>
      <c r="K7" s="46">
        <f t="shared" si="0"/>
        <v>46051</v>
      </c>
      <c r="L7" s="47">
        <f t="shared" si="1"/>
        <v>18</v>
      </c>
      <c r="N7" s="45">
        <f t="shared" si="10"/>
        <v>46052</v>
      </c>
      <c r="O7" s="46">
        <f t="shared" si="2"/>
        <v>46052</v>
      </c>
      <c r="P7" s="48">
        <f t="shared" si="3"/>
        <v>0</v>
      </c>
      <c r="Q7" s="49">
        <f t="shared" si="11"/>
        <v>46054</v>
      </c>
      <c r="S7" s="50">
        <f t="shared" si="12"/>
        <v>45373</v>
      </c>
      <c r="T7" s="51">
        <f t="shared" si="13"/>
        <v>45422</v>
      </c>
      <c r="U7" s="47">
        <v>35</v>
      </c>
      <c r="W7" s="45">
        <f t="shared" si="14"/>
        <v>45425</v>
      </c>
      <c r="X7" s="46">
        <f t="shared" si="15"/>
        <v>45509</v>
      </c>
      <c r="Y7" s="47">
        <v>60</v>
      </c>
      <c r="AA7" s="45">
        <f t="shared" si="16"/>
        <v>45510</v>
      </c>
      <c r="AB7" s="46">
        <f t="shared" si="17"/>
        <v>45594</v>
      </c>
      <c r="AC7" s="47">
        <v>60</v>
      </c>
      <c r="AE7" s="45">
        <f t="shared" si="18"/>
        <v>45648</v>
      </c>
      <c r="AF7" s="46">
        <f t="shared" si="19"/>
        <v>45679</v>
      </c>
      <c r="AG7" s="47">
        <v>1</v>
      </c>
      <c r="AI7" s="45">
        <f t="shared" si="20"/>
        <v>45488</v>
      </c>
      <c r="AJ7" s="46">
        <f t="shared" si="21"/>
        <v>45523</v>
      </c>
      <c r="AK7" s="47">
        <v>25</v>
      </c>
      <c r="AM7" s="45">
        <f t="shared" si="22"/>
        <v>45524</v>
      </c>
      <c r="AN7" s="46">
        <f t="shared" si="23"/>
        <v>45608</v>
      </c>
      <c r="AO7" s="47">
        <v>60</v>
      </c>
      <c r="AQ7" s="45">
        <f t="shared" si="24"/>
        <v>45680</v>
      </c>
      <c r="AR7" s="46">
        <f t="shared" si="25"/>
        <v>45821</v>
      </c>
      <c r="AS7" s="52">
        <v>21</v>
      </c>
      <c r="AT7" s="53">
        <v>80</v>
      </c>
      <c r="AV7" s="45">
        <f t="shared" si="26"/>
        <v>45822</v>
      </c>
      <c r="AW7" s="46">
        <f t="shared" si="27"/>
        <v>46036</v>
      </c>
      <c r="AX7" s="47">
        <v>7</v>
      </c>
      <c r="AZ7" s="45">
        <f t="shared" si="28"/>
        <v>45524</v>
      </c>
      <c r="BA7" s="46">
        <f t="shared" si="29"/>
        <v>45566</v>
      </c>
      <c r="BB7" s="47">
        <v>30</v>
      </c>
      <c r="BD7" s="45">
        <f t="shared" si="30"/>
        <v>45567</v>
      </c>
      <c r="BE7" s="46">
        <f t="shared" si="31"/>
        <v>45784</v>
      </c>
      <c r="BF7" s="47">
        <v>155</v>
      </c>
      <c r="BH7" s="45">
        <f t="shared" si="32"/>
        <v>45756</v>
      </c>
      <c r="BI7" s="46">
        <f t="shared" si="33"/>
        <v>45882</v>
      </c>
      <c r="BJ7" s="47">
        <v>90</v>
      </c>
      <c r="BL7" s="45">
        <f t="shared" si="34"/>
        <v>45883</v>
      </c>
      <c r="BM7" s="46">
        <f t="shared" si="35"/>
        <v>46036</v>
      </c>
      <c r="BN7" s="47">
        <v>5</v>
      </c>
      <c r="BP7" s="45">
        <f t="shared" si="36"/>
        <v>45838</v>
      </c>
      <c r="BQ7" s="46">
        <f t="shared" si="37"/>
        <v>45943</v>
      </c>
      <c r="BR7" s="47">
        <v>75</v>
      </c>
      <c r="BT7" s="45">
        <f t="shared" si="38"/>
        <v>45944</v>
      </c>
      <c r="BU7" s="46">
        <f t="shared" si="39"/>
        <v>46036</v>
      </c>
      <c r="BV7" s="47">
        <v>3</v>
      </c>
      <c r="BX7" s="45">
        <f t="shared" si="40"/>
        <v>46037</v>
      </c>
      <c r="BY7" s="46">
        <f t="shared" si="4"/>
        <v>46037</v>
      </c>
      <c r="BZ7" s="48">
        <f t="shared" si="5"/>
        <v>0</v>
      </c>
      <c r="CB7" s="50">
        <f t="shared" si="41"/>
        <v>45373</v>
      </c>
      <c r="CC7" s="51">
        <f t="shared" si="42"/>
        <v>45485</v>
      </c>
      <c r="CD7" s="47">
        <v>80</v>
      </c>
      <c r="CF7" s="50">
        <f t="shared" si="43"/>
        <v>45487</v>
      </c>
      <c r="CG7" s="51">
        <f t="shared" si="44"/>
        <v>46036</v>
      </c>
      <c r="CH7" s="47">
        <f t="shared" si="6"/>
        <v>18</v>
      </c>
      <c r="CJ7" s="50">
        <f t="shared" si="45"/>
        <v>46037</v>
      </c>
      <c r="CK7" s="51">
        <f t="shared" si="46"/>
        <v>46037</v>
      </c>
      <c r="CL7" s="47">
        <f t="shared" si="47"/>
        <v>0</v>
      </c>
      <c r="CN7" s="54">
        <v>46038</v>
      </c>
      <c r="CO7" s="55">
        <v>46054</v>
      </c>
      <c r="CQ7" s="50">
        <f t="shared" si="48"/>
        <v>45870</v>
      </c>
      <c r="CR7" s="51">
        <f t="shared" si="49"/>
        <v>45931</v>
      </c>
      <c r="CS7" s="48">
        <v>2</v>
      </c>
      <c r="CT7" s="56"/>
      <c r="CU7" s="50">
        <f t="shared" si="50"/>
        <v>45931</v>
      </c>
      <c r="CV7" s="51">
        <f t="shared" si="51"/>
        <v>45992</v>
      </c>
      <c r="CW7" s="48">
        <v>2</v>
      </c>
      <c r="CX7" s="56"/>
      <c r="CY7" s="50">
        <f t="shared" si="52"/>
        <v>45992</v>
      </c>
      <c r="CZ7" s="51">
        <f t="shared" si="53"/>
        <v>46054</v>
      </c>
      <c r="DA7" s="48">
        <v>2</v>
      </c>
      <c r="DB7" s="56"/>
      <c r="DC7" s="50">
        <f t="shared" si="54"/>
        <v>46054</v>
      </c>
      <c r="DD7" s="51">
        <f t="shared" si="55"/>
        <v>46113</v>
      </c>
      <c r="DE7" s="48">
        <v>2</v>
      </c>
      <c r="DF7" s="57"/>
      <c r="DG7" s="50">
        <f t="shared" si="56"/>
        <v>46113</v>
      </c>
      <c r="DH7" s="51">
        <f t="shared" si="57"/>
        <v>46327</v>
      </c>
      <c r="DI7" s="48">
        <v>7</v>
      </c>
      <c r="DJ7">
        <f t="shared" si="58"/>
        <v>11</v>
      </c>
    </row>
    <row r="8" spans="2:123" x14ac:dyDescent="0.3">
      <c r="B8" s="58" t="s">
        <v>51</v>
      </c>
      <c r="C8" s="59" t="s">
        <v>55</v>
      </c>
      <c r="D8" s="60" t="s">
        <v>53</v>
      </c>
      <c r="F8" s="61">
        <f t="shared" si="7"/>
        <v>45046</v>
      </c>
      <c r="G8" s="62">
        <f t="shared" si="8"/>
        <v>45169</v>
      </c>
      <c r="H8" s="63">
        <v>4</v>
      </c>
      <c r="J8" s="61">
        <f t="shared" si="9"/>
        <v>45716</v>
      </c>
      <c r="K8" s="62">
        <f t="shared" si="0"/>
        <v>46262</v>
      </c>
      <c r="L8" s="63">
        <f t="shared" si="1"/>
        <v>18</v>
      </c>
      <c r="N8" s="61">
        <f t="shared" si="10"/>
        <v>46265</v>
      </c>
      <c r="O8" s="62">
        <f t="shared" si="2"/>
        <v>46265</v>
      </c>
      <c r="P8" s="64">
        <f t="shared" si="3"/>
        <v>0</v>
      </c>
      <c r="Q8" s="49">
        <f t="shared" si="11"/>
        <v>46266</v>
      </c>
      <c r="S8" s="65">
        <f t="shared" si="12"/>
        <v>45649</v>
      </c>
      <c r="T8" s="66">
        <f t="shared" si="13"/>
        <v>45698</v>
      </c>
      <c r="U8" s="63">
        <v>35</v>
      </c>
      <c r="W8" s="61">
        <f t="shared" si="14"/>
        <v>45699</v>
      </c>
      <c r="X8" s="62">
        <f t="shared" si="15"/>
        <v>45783</v>
      </c>
      <c r="Y8" s="63">
        <v>60</v>
      </c>
      <c r="AA8" s="61">
        <f t="shared" si="16"/>
        <v>45784</v>
      </c>
      <c r="AB8" s="62">
        <f t="shared" si="17"/>
        <v>45868</v>
      </c>
      <c r="AC8" s="63">
        <v>60</v>
      </c>
      <c r="AE8" s="61">
        <f t="shared" si="18"/>
        <v>45922</v>
      </c>
      <c r="AF8" s="62">
        <f t="shared" si="19"/>
        <v>45952</v>
      </c>
      <c r="AG8" s="63">
        <v>1</v>
      </c>
      <c r="AI8" s="61">
        <f t="shared" si="20"/>
        <v>45762</v>
      </c>
      <c r="AJ8" s="62">
        <f t="shared" si="21"/>
        <v>45797</v>
      </c>
      <c r="AK8" s="63">
        <v>25</v>
      </c>
      <c r="AM8" s="61">
        <f t="shared" si="22"/>
        <v>45798</v>
      </c>
      <c r="AN8" s="62">
        <f t="shared" si="23"/>
        <v>45882</v>
      </c>
      <c r="AO8" s="63">
        <v>60</v>
      </c>
      <c r="AQ8" s="61">
        <f t="shared" si="24"/>
        <v>45953</v>
      </c>
      <c r="AR8" s="62">
        <f t="shared" si="25"/>
        <v>46094</v>
      </c>
      <c r="AS8" s="67">
        <v>21</v>
      </c>
      <c r="AT8" s="68">
        <v>80</v>
      </c>
      <c r="AV8" s="61">
        <f t="shared" si="26"/>
        <v>46096</v>
      </c>
      <c r="AW8" s="62">
        <f t="shared" si="27"/>
        <v>46310</v>
      </c>
      <c r="AX8" s="63">
        <v>7</v>
      </c>
      <c r="AZ8" s="61">
        <f t="shared" si="28"/>
        <v>45798</v>
      </c>
      <c r="BA8" s="62">
        <f t="shared" si="29"/>
        <v>45840</v>
      </c>
      <c r="BB8" s="63">
        <v>30</v>
      </c>
      <c r="BD8" s="61">
        <f t="shared" si="30"/>
        <v>45841</v>
      </c>
      <c r="BE8" s="62">
        <f t="shared" si="31"/>
        <v>46058</v>
      </c>
      <c r="BF8" s="63">
        <v>155</v>
      </c>
      <c r="BH8" s="61">
        <f t="shared" si="32"/>
        <v>46030</v>
      </c>
      <c r="BI8" s="62">
        <f t="shared" si="33"/>
        <v>46156</v>
      </c>
      <c r="BJ8" s="63">
        <v>90</v>
      </c>
      <c r="BL8" s="61">
        <f t="shared" si="34"/>
        <v>46157</v>
      </c>
      <c r="BM8" s="62">
        <f t="shared" si="35"/>
        <v>46310</v>
      </c>
      <c r="BN8" s="63">
        <v>5</v>
      </c>
      <c r="BP8" s="61">
        <f t="shared" si="36"/>
        <v>46112</v>
      </c>
      <c r="BQ8" s="62">
        <f t="shared" si="37"/>
        <v>46217</v>
      </c>
      <c r="BR8" s="63">
        <v>75</v>
      </c>
      <c r="BT8" s="61">
        <f t="shared" si="38"/>
        <v>46218</v>
      </c>
      <c r="BU8" s="62">
        <f t="shared" si="39"/>
        <v>46310</v>
      </c>
      <c r="BV8" s="63">
        <v>3</v>
      </c>
      <c r="BX8" s="61">
        <f t="shared" si="40"/>
        <v>46311</v>
      </c>
      <c r="BY8" s="62">
        <f t="shared" si="4"/>
        <v>46311</v>
      </c>
      <c r="BZ8" s="64">
        <f t="shared" si="5"/>
        <v>0</v>
      </c>
      <c r="CB8" s="65">
        <f t="shared" si="41"/>
        <v>45649</v>
      </c>
      <c r="CC8" s="66">
        <f t="shared" si="42"/>
        <v>45761</v>
      </c>
      <c r="CD8" s="63">
        <v>80</v>
      </c>
      <c r="CF8" s="65">
        <f t="shared" si="43"/>
        <v>45762</v>
      </c>
      <c r="CG8" s="66">
        <f t="shared" si="44"/>
        <v>46310</v>
      </c>
      <c r="CH8" s="63">
        <f t="shared" si="6"/>
        <v>18</v>
      </c>
      <c r="CJ8" s="65">
        <f t="shared" si="45"/>
        <v>46311</v>
      </c>
      <c r="CK8" s="66">
        <f t="shared" si="46"/>
        <v>46311</v>
      </c>
      <c r="CL8" s="63">
        <f t="shared" si="47"/>
        <v>0</v>
      </c>
      <c r="CN8" s="54">
        <v>46313</v>
      </c>
      <c r="CO8" s="55">
        <v>46266</v>
      </c>
      <c r="CQ8" s="65">
        <f t="shared" si="48"/>
        <v>46082</v>
      </c>
      <c r="CR8" s="66">
        <f t="shared" si="49"/>
        <v>46143</v>
      </c>
      <c r="CS8" s="64">
        <v>2</v>
      </c>
      <c r="CT8" s="56"/>
      <c r="CU8" s="65">
        <f t="shared" si="50"/>
        <v>46143</v>
      </c>
      <c r="CV8" s="66">
        <f t="shared" si="51"/>
        <v>46204</v>
      </c>
      <c r="CW8" s="64">
        <v>2</v>
      </c>
      <c r="CX8" s="56"/>
      <c r="CY8" s="65">
        <f t="shared" si="52"/>
        <v>46204</v>
      </c>
      <c r="CZ8" s="66">
        <f t="shared" si="53"/>
        <v>46266</v>
      </c>
      <c r="DA8" s="64">
        <v>2</v>
      </c>
      <c r="DB8" s="56"/>
      <c r="DC8" s="65">
        <f t="shared" si="54"/>
        <v>46266</v>
      </c>
      <c r="DD8" s="66">
        <f t="shared" si="55"/>
        <v>46327</v>
      </c>
      <c r="DE8" s="64">
        <v>2</v>
      </c>
      <c r="DF8" s="57"/>
      <c r="DG8" s="65">
        <f t="shared" si="56"/>
        <v>46327</v>
      </c>
      <c r="DH8" s="66">
        <f t="shared" si="57"/>
        <v>46539</v>
      </c>
      <c r="DI8" s="64">
        <v>7</v>
      </c>
      <c r="DJ8">
        <f t="shared" si="58"/>
        <v>-34</v>
      </c>
    </row>
    <row r="9" spans="2:123" x14ac:dyDescent="0.3">
      <c r="B9" s="42" t="s">
        <v>51</v>
      </c>
      <c r="C9" s="43" t="s">
        <v>56</v>
      </c>
      <c r="D9" s="44" t="s">
        <v>53</v>
      </c>
      <c r="F9" s="45">
        <f t="shared" si="7"/>
        <v>45260</v>
      </c>
      <c r="G9" s="46">
        <f t="shared" si="8"/>
        <v>45382</v>
      </c>
      <c r="H9" s="47">
        <v>4</v>
      </c>
      <c r="J9" s="45">
        <f t="shared" si="9"/>
        <v>45930</v>
      </c>
      <c r="K9" s="46">
        <f t="shared" si="0"/>
        <v>46476</v>
      </c>
      <c r="L9" s="47">
        <f t="shared" si="1"/>
        <v>18</v>
      </c>
      <c r="N9" s="45">
        <f t="shared" si="10"/>
        <v>46477</v>
      </c>
      <c r="O9" s="46">
        <f t="shared" si="2"/>
        <v>46477</v>
      </c>
      <c r="P9" s="48">
        <f t="shared" si="3"/>
        <v>0</v>
      </c>
      <c r="Q9" s="49">
        <f t="shared" si="11"/>
        <v>46478</v>
      </c>
      <c r="S9" s="50">
        <f t="shared" si="12"/>
        <v>45817</v>
      </c>
      <c r="T9" s="51">
        <f t="shared" si="13"/>
        <v>45866</v>
      </c>
      <c r="U9" s="47">
        <v>35</v>
      </c>
      <c r="W9" s="45">
        <f t="shared" si="14"/>
        <v>45867</v>
      </c>
      <c r="X9" s="46">
        <f t="shared" si="15"/>
        <v>45951</v>
      </c>
      <c r="Y9" s="47">
        <v>60</v>
      </c>
      <c r="AA9" s="45">
        <f t="shared" si="16"/>
        <v>45952</v>
      </c>
      <c r="AB9" s="46">
        <f t="shared" si="17"/>
        <v>46036</v>
      </c>
      <c r="AC9" s="47">
        <v>60</v>
      </c>
      <c r="AE9" s="45">
        <f t="shared" si="18"/>
        <v>46089</v>
      </c>
      <c r="AF9" s="46">
        <f t="shared" si="19"/>
        <v>46120</v>
      </c>
      <c r="AG9" s="47">
        <v>1</v>
      </c>
      <c r="AI9" s="45">
        <f t="shared" si="20"/>
        <v>45930</v>
      </c>
      <c r="AJ9" s="46">
        <f t="shared" si="21"/>
        <v>45965</v>
      </c>
      <c r="AK9" s="47">
        <v>25</v>
      </c>
      <c r="AM9" s="45">
        <f t="shared" si="22"/>
        <v>45966</v>
      </c>
      <c r="AN9" s="46">
        <f t="shared" si="23"/>
        <v>46050</v>
      </c>
      <c r="AO9" s="47">
        <v>60</v>
      </c>
      <c r="AQ9" s="45">
        <f t="shared" si="24"/>
        <v>46121</v>
      </c>
      <c r="AR9" s="46">
        <f t="shared" si="25"/>
        <v>46262</v>
      </c>
      <c r="AS9" s="52">
        <v>21</v>
      </c>
      <c r="AT9" s="53">
        <v>80</v>
      </c>
      <c r="AV9" s="45">
        <f t="shared" si="26"/>
        <v>46264</v>
      </c>
      <c r="AW9" s="46">
        <f t="shared" si="27"/>
        <v>46476</v>
      </c>
      <c r="AX9" s="47">
        <v>7</v>
      </c>
      <c r="AZ9" s="45">
        <f t="shared" si="28"/>
        <v>45966</v>
      </c>
      <c r="BA9" s="46">
        <f t="shared" si="29"/>
        <v>46008</v>
      </c>
      <c r="BB9" s="47">
        <v>30</v>
      </c>
      <c r="BD9" s="45">
        <f t="shared" si="30"/>
        <v>46009</v>
      </c>
      <c r="BE9" s="46">
        <f t="shared" si="31"/>
        <v>46226</v>
      </c>
      <c r="BF9" s="47">
        <v>155</v>
      </c>
      <c r="BH9" s="45">
        <f t="shared" si="32"/>
        <v>46198</v>
      </c>
      <c r="BI9" s="46">
        <f t="shared" si="33"/>
        <v>46324</v>
      </c>
      <c r="BJ9" s="47">
        <v>90</v>
      </c>
      <c r="BL9" s="45">
        <f t="shared" si="34"/>
        <v>46325</v>
      </c>
      <c r="BM9" s="46">
        <f t="shared" si="35"/>
        <v>46476</v>
      </c>
      <c r="BN9" s="47">
        <v>5</v>
      </c>
      <c r="BP9" s="45">
        <f t="shared" si="36"/>
        <v>46280</v>
      </c>
      <c r="BQ9" s="46">
        <f t="shared" si="37"/>
        <v>46385</v>
      </c>
      <c r="BR9" s="47">
        <v>75</v>
      </c>
      <c r="BT9" s="45">
        <f t="shared" si="38"/>
        <v>46386</v>
      </c>
      <c r="BU9" s="46">
        <f t="shared" si="39"/>
        <v>46476</v>
      </c>
      <c r="BV9" s="47">
        <v>3</v>
      </c>
      <c r="BX9" s="45">
        <f t="shared" si="40"/>
        <v>46477</v>
      </c>
      <c r="BY9" s="46">
        <f t="shared" si="4"/>
        <v>46477</v>
      </c>
      <c r="BZ9" s="48">
        <f t="shared" si="5"/>
        <v>0</v>
      </c>
      <c r="CB9" s="50">
        <f t="shared" si="41"/>
        <v>45817</v>
      </c>
      <c r="CC9" s="51">
        <f t="shared" si="42"/>
        <v>45929</v>
      </c>
      <c r="CD9" s="47">
        <v>80</v>
      </c>
      <c r="CF9" s="50">
        <f t="shared" si="43"/>
        <v>45930</v>
      </c>
      <c r="CG9" s="51">
        <f t="shared" si="44"/>
        <v>46476</v>
      </c>
      <c r="CH9" s="47">
        <f t="shared" si="6"/>
        <v>18</v>
      </c>
      <c r="CJ9" s="50">
        <f t="shared" si="45"/>
        <v>46477</v>
      </c>
      <c r="CK9" s="51">
        <f t="shared" si="46"/>
        <v>46477</v>
      </c>
      <c r="CL9" s="47">
        <f t="shared" si="47"/>
        <v>0</v>
      </c>
      <c r="CN9" s="54">
        <v>46478</v>
      </c>
      <c r="CO9" s="55">
        <v>46478</v>
      </c>
      <c r="CQ9" s="50">
        <f t="shared" si="48"/>
        <v>46296</v>
      </c>
      <c r="CR9" s="51">
        <f t="shared" si="49"/>
        <v>46357</v>
      </c>
      <c r="CS9" s="48">
        <v>2</v>
      </c>
      <c r="CT9" s="56"/>
      <c r="CU9" s="50">
        <f t="shared" si="50"/>
        <v>46357</v>
      </c>
      <c r="CV9" s="51">
        <f t="shared" si="51"/>
        <v>46419</v>
      </c>
      <c r="CW9" s="48">
        <v>2</v>
      </c>
      <c r="CX9" s="56"/>
      <c r="CY9" s="50">
        <f t="shared" si="52"/>
        <v>46419</v>
      </c>
      <c r="CZ9" s="51">
        <f t="shared" si="53"/>
        <v>46478</v>
      </c>
      <c r="DA9" s="48">
        <v>2</v>
      </c>
      <c r="DB9" s="56"/>
      <c r="DC9" s="50">
        <f t="shared" si="54"/>
        <v>46478</v>
      </c>
      <c r="DD9" s="51">
        <f t="shared" si="55"/>
        <v>46539</v>
      </c>
      <c r="DE9" s="48">
        <v>2</v>
      </c>
      <c r="DF9" s="57"/>
      <c r="DG9" s="50">
        <f t="shared" si="56"/>
        <v>46539</v>
      </c>
      <c r="DH9" s="51">
        <f t="shared" si="57"/>
        <v>46753</v>
      </c>
      <c r="DI9" s="48">
        <v>7</v>
      </c>
      <c r="DJ9">
        <f t="shared" si="58"/>
        <v>-1</v>
      </c>
    </row>
    <row r="10" spans="2:123" x14ac:dyDescent="0.3">
      <c r="B10" s="58" t="s">
        <v>51</v>
      </c>
      <c r="C10" s="59" t="s">
        <v>57</v>
      </c>
      <c r="D10" s="60" t="s">
        <v>53</v>
      </c>
      <c r="F10" s="61">
        <f t="shared" si="7"/>
        <v>45473</v>
      </c>
      <c r="G10" s="62">
        <f t="shared" si="8"/>
        <v>45596</v>
      </c>
      <c r="H10" s="63">
        <v>4</v>
      </c>
      <c r="J10" s="61">
        <f t="shared" si="9"/>
        <v>46140</v>
      </c>
      <c r="K10" s="62">
        <f t="shared" si="0"/>
        <v>46688</v>
      </c>
      <c r="L10" s="63">
        <f t="shared" si="1"/>
        <v>18</v>
      </c>
      <c r="N10" s="61">
        <f t="shared" si="10"/>
        <v>46689</v>
      </c>
      <c r="O10" s="62">
        <f t="shared" si="2"/>
        <v>46689</v>
      </c>
      <c r="P10" s="64">
        <f t="shared" si="3"/>
        <v>0</v>
      </c>
      <c r="Q10" s="49">
        <f t="shared" si="11"/>
        <v>46692</v>
      </c>
      <c r="S10" s="65">
        <f t="shared" si="12"/>
        <v>46027</v>
      </c>
      <c r="T10" s="66">
        <f t="shared" si="13"/>
        <v>46076</v>
      </c>
      <c r="U10" s="63">
        <v>35</v>
      </c>
      <c r="W10" s="61">
        <f t="shared" si="14"/>
        <v>46077</v>
      </c>
      <c r="X10" s="62">
        <f t="shared" si="15"/>
        <v>46161</v>
      </c>
      <c r="Y10" s="63">
        <v>60</v>
      </c>
      <c r="AA10" s="61">
        <f t="shared" si="16"/>
        <v>46162</v>
      </c>
      <c r="AB10" s="62">
        <f t="shared" si="17"/>
        <v>46246</v>
      </c>
      <c r="AC10" s="63">
        <v>60</v>
      </c>
      <c r="AE10" s="61">
        <f t="shared" si="18"/>
        <v>46299</v>
      </c>
      <c r="AF10" s="62">
        <f t="shared" si="19"/>
        <v>46330</v>
      </c>
      <c r="AG10" s="63">
        <v>1</v>
      </c>
      <c r="AI10" s="61">
        <f t="shared" si="20"/>
        <v>46140</v>
      </c>
      <c r="AJ10" s="62">
        <f t="shared" si="21"/>
        <v>46175</v>
      </c>
      <c r="AK10" s="63">
        <v>25</v>
      </c>
      <c r="AM10" s="61">
        <f t="shared" si="22"/>
        <v>46176</v>
      </c>
      <c r="AN10" s="62">
        <f t="shared" si="23"/>
        <v>46260</v>
      </c>
      <c r="AO10" s="63">
        <v>60</v>
      </c>
      <c r="AQ10" s="61">
        <f t="shared" si="24"/>
        <v>46331</v>
      </c>
      <c r="AR10" s="62">
        <f t="shared" si="25"/>
        <v>46472</v>
      </c>
      <c r="AS10" s="67">
        <v>21</v>
      </c>
      <c r="AT10" s="68">
        <v>80</v>
      </c>
      <c r="AV10" s="61">
        <f t="shared" si="26"/>
        <v>46474</v>
      </c>
      <c r="AW10" s="62">
        <f t="shared" si="27"/>
        <v>46688</v>
      </c>
      <c r="AX10" s="63">
        <v>7</v>
      </c>
      <c r="AZ10" s="61">
        <f t="shared" si="28"/>
        <v>46176</v>
      </c>
      <c r="BA10" s="62">
        <f t="shared" si="29"/>
        <v>46218</v>
      </c>
      <c r="BB10" s="63">
        <v>30</v>
      </c>
      <c r="BD10" s="61">
        <f t="shared" si="30"/>
        <v>46219</v>
      </c>
      <c r="BE10" s="62">
        <f t="shared" si="31"/>
        <v>46436</v>
      </c>
      <c r="BF10" s="63">
        <v>155</v>
      </c>
      <c r="BH10" s="61">
        <f t="shared" si="32"/>
        <v>46408</v>
      </c>
      <c r="BI10" s="62">
        <f t="shared" si="33"/>
        <v>46534</v>
      </c>
      <c r="BJ10" s="63">
        <v>90</v>
      </c>
      <c r="BL10" s="61">
        <f t="shared" si="34"/>
        <v>46535</v>
      </c>
      <c r="BM10" s="62">
        <f t="shared" si="35"/>
        <v>46688</v>
      </c>
      <c r="BN10" s="63">
        <v>5</v>
      </c>
      <c r="BP10" s="61">
        <f t="shared" si="36"/>
        <v>46490</v>
      </c>
      <c r="BQ10" s="62">
        <f t="shared" si="37"/>
        <v>46595</v>
      </c>
      <c r="BR10" s="63">
        <v>75</v>
      </c>
      <c r="BT10" s="61">
        <f t="shared" si="38"/>
        <v>46596</v>
      </c>
      <c r="BU10" s="62">
        <f t="shared" si="39"/>
        <v>46688</v>
      </c>
      <c r="BV10" s="63">
        <v>3</v>
      </c>
      <c r="BX10" s="61">
        <f t="shared" si="40"/>
        <v>46689</v>
      </c>
      <c r="BY10" s="62">
        <f t="shared" si="4"/>
        <v>46689</v>
      </c>
      <c r="BZ10" s="64">
        <f t="shared" si="5"/>
        <v>0</v>
      </c>
      <c r="CB10" s="65">
        <f t="shared" si="41"/>
        <v>46027</v>
      </c>
      <c r="CC10" s="66">
        <f t="shared" si="42"/>
        <v>46139</v>
      </c>
      <c r="CD10" s="63">
        <v>80</v>
      </c>
      <c r="CF10" s="65">
        <f t="shared" si="43"/>
        <v>46140</v>
      </c>
      <c r="CG10" s="66">
        <f t="shared" si="44"/>
        <v>46688</v>
      </c>
      <c r="CH10" s="63">
        <f t="shared" si="6"/>
        <v>18</v>
      </c>
      <c r="CJ10" s="65">
        <f t="shared" si="45"/>
        <v>46689</v>
      </c>
      <c r="CK10" s="66">
        <f t="shared" si="46"/>
        <v>46689</v>
      </c>
      <c r="CL10" s="63">
        <f t="shared" si="47"/>
        <v>0</v>
      </c>
      <c r="CN10" s="54">
        <v>46692</v>
      </c>
      <c r="CO10" s="55">
        <v>46692</v>
      </c>
      <c r="CQ10" s="65">
        <f t="shared" si="48"/>
        <v>46508</v>
      </c>
      <c r="CR10" s="66">
        <f t="shared" si="49"/>
        <v>46569</v>
      </c>
      <c r="CS10" s="64">
        <v>2</v>
      </c>
      <c r="CT10" s="56"/>
      <c r="CU10" s="65">
        <f t="shared" si="50"/>
        <v>46569</v>
      </c>
      <c r="CV10" s="66">
        <f t="shared" si="51"/>
        <v>46631</v>
      </c>
      <c r="CW10" s="64">
        <v>2</v>
      </c>
      <c r="CX10" s="56"/>
      <c r="CY10" s="65">
        <f t="shared" si="52"/>
        <v>46631</v>
      </c>
      <c r="CZ10" s="66">
        <f t="shared" si="53"/>
        <v>46692</v>
      </c>
      <c r="DA10" s="64">
        <v>2</v>
      </c>
      <c r="DB10" s="56"/>
      <c r="DC10" s="65">
        <f t="shared" si="54"/>
        <v>46692</v>
      </c>
      <c r="DD10" s="66">
        <f t="shared" si="55"/>
        <v>46753</v>
      </c>
      <c r="DE10" s="64">
        <v>2</v>
      </c>
      <c r="DF10" s="57"/>
      <c r="DG10" s="65">
        <f t="shared" si="56"/>
        <v>46753</v>
      </c>
      <c r="DH10" s="66">
        <f t="shared" si="57"/>
        <v>46966</v>
      </c>
      <c r="DI10" s="64">
        <v>7</v>
      </c>
      <c r="DJ10">
        <f t="shared" si="58"/>
        <v>-1</v>
      </c>
    </row>
    <row r="11" spans="2:123" x14ac:dyDescent="0.3">
      <c r="B11" s="42" t="s">
        <v>51</v>
      </c>
      <c r="C11" s="42" t="s">
        <v>58</v>
      </c>
      <c r="D11" s="44" t="s">
        <v>53</v>
      </c>
      <c r="F11" s="45">
        <f t="shared" si="7"/>
        <v>45688</v>
      </c>
      <c r="G11" s="46">
        <f t="shared" si="8"/>
        <v>45808</v>
      </c>
      <c r="H11" s="47">
        <v>4</v>
      </c>
      <c r="J11" s="45">
        <f t="shared" si="9"/>
        <v>46356</v>
      </c>
      <c r="K11" s="46">
        <f t="shared" si="0"/>
        <v>46903</v>
      </c>
      <c r="L11" s="47">
        <f t="shared" si="1"/>
        <v>18</v>
      </c>
      <c r="N11" s="45">
        <f t="shared" si="10"/>
        <v>46904</v>
      </c>
      <c r="O11" s="46">
        <f t="shared" si="2"/>
        <v>46904</v>
      </c>
      <c r="P11" s="48">
        <f t="shared" si="3"/>
        <v>0</v>
      </c>
      <c r="Q11" s="49">
        <f t="shared" si="11"/>
        <v>46905</v>
      </c>
      <c r="S11" s="50">
        <f t="shared" si="12"/>
        <v>46255</v>
      </c>
      <c r="T11" s="51">
        <f t="shared" si="13"/>
        <v>46304</v>
      </c>
      <c r="U11" s="47">
        <v>35</v>
      </c>
      <c r="W11" s="45">
        <f t="shared" si="14"/>
        <v>46307</v>
      </c>
      <c r="X11" s="46">
        <f t="shared" si="15"/>
        <v>46391</v>
      </c>
      <c r="Y11" s="47">
        <v>60</v>
      </c>
      <c r="AA11" s="45">
        <f t="shared" si="16"/>
        <v>46392</v>
      </c>
      <c r="AB11" s="46">
        <f t="shared" si="17"/>
        <v>46476</v>
      </c>
      <c r="AC11" s="47">
        <v>60</v>
      </c>
      <c r="AE11" s="45">
        <f t="shared" si="18"/>
        <v>46530</v>
      </c>
      <c r="AF11" s="46">
        <f t="shared" si="19"/>
        <v>46561</v>
      </c>
      <c r="AG11" s="47">
        <v>1</v>
      </c>
      <c r="AI11" s="45">
        <f t="shared" si="20"/>
        <v>46370</v>
      </c>
      <c r="AJ11" s="46">
        <f t="shared" si="21"/>
        <v>46405</v>
      </c>
      <c r="AK11" s="47">
        <v>25</v>
      </c>
      <c r="AM11" s="45">
        <f t="shared" si="22"/>
        <v>46406</v>
      </c>
      <c r="AN11" s="46">
        <f t="shared" si="23"/>
        <v>46490</v>
      </c>
      <c r="AO11" s="47">
        <v>60</v>
      </c>
      <c r="AQ11" s="45">
        <f t="shared" si="24"/>
        <v>46562</v>
      </c>
      <c r="AR11" s="46">
        <f t="shared" si="25"/>
        <v>46703</v>
      </c>
      <c r="AS11" s="52">
        <v>21</v>
      </c>
      <c r="AT11" s="53">
        <v>80</v>
      </c>
      <c r="AV11" s="45">
        <f t="shared" si="26"/>
        <v>46704</v>
      </c>
      <c r="AW11" s="46">
        <f t="shared" si="27"/>
        <v>46917</v>
      </c>
      <c r="AX11" s="47">
        <v>7</v>
      </c>
      <c r="AZ11" s="45">
        <f t="shared" si="28"/>
        <v>46406</v>
      </c>
      <c r="BA11" s="46">
        <f t="shared" si="29"/>
        <v>46448</v>
      </c>
      <c r="BB11" s="47">
        <v>30</v>
      </c>
      <c r="BD11" s="45">
        <f t="shared" si="30"/>
        <v>46449</v>
      </c>
      <c r="BE11" s="46">
        <f t="shared" si="31"/>
        <v>46666</v>
      </c>
      <c r="BF11" s="47">
        <v>155</v>
      </c>
      <c r="BH11" s="45">
        <f t="shared" si="32"/>
        <v>46638</v>
      </c>
      <c r="BI11" s="46">
        <f t="shared" si="33"/>
        <v>46764</v>
      </c>
      <c r="BJ11" s="47">
        <v>90</v>
      </c>
      <c r="BL11" s="45">
        <f t="shared" si="34"/>
        <v>46765</v>
      </c>
      <c r="BM11" s="46">
        <f t="shared" si="35"/>
        <v>46917</v>
      </c>
      <c r="BN11" s="47">
        <v>5</v>
      </c>
      <c r="BP11" s="45">
        <f t="shared" si="36"/>
        <v>46717</v>
      </c>
      <c r="BQ11" s="46">
        <f t="shared" si="37"/>
        <v>46822</v>
      </c>
      <c r="BR11" s="47">
        <v>75</v>
      </c>
      <c r="BT11" s="45">
        <f t="shared" si="38"/>
        <v>46825</v>
      </c>
      <c r="BU11" s="46">
        <f t="shared" si="39"/>
        <v>46917</v>
      </c>
      <c r="BV11" s="47">
        <v>3</v>
      </c>
      <c r="BX11" s="45">
        <f t="shared" si="40"/>
        <v>46918</v>
      </c>
      <c r="BY11" s="46">
        <f t="shared" si="4"/>
        <v>46918</v>
      </c>
      <c r="BZ11" s="48">
        <f t="shared" si="5"/>
        <v>0</v>
      </c>
      <c r="CB11" s="50">
        <f t="shared" si="41"/>
        <v>46255</v>
      </c>
      <c r="CC11" s="51">
        <f t="shared" si="42"/>
        <v>46367</v>
      </c>
      <c r="CD11" s="47">
        <v>80</v>
      </c>
      <c r="CF11" s="50">
        <f t="shared" si="43"/>
        <v>46369</v>
      </c>
      <c r="CG11" s="51">
        <f t="shared" si="44"/>
        <v>46917</v>
      </c>
      <c r="CH11" s="47">
        <f t="shared" si="6"/>
        <v>18</v>
      </c>
      <c r="CJ11" s="50">
        <f t="shared" si="45"/>
        <v>46918</v>
      </c>
      <c r="CK11" s="51">
        <f t="shared" si="46"/>
        <v>46918</v>
      </c>
      <c r="CL11" s="47">
        <f t="shared" si="47"/>
        <v>0</v>
      </c>
      <c r="CN11" s="54">
        <v>46919</v>
      </c>
      <c r="CO11" s="55">
        <v>46905</v>
      </c>
      <c r="CQ11" s="50">
        <f t="shared" si="48"/>
        <v>46722</v>
      </c>
      <c r="CR11" s="51">
        <f t="shared" si="49"/>
        <v>46784</v>
      </c>
      <c r="CS11" s="48">
        <v>2</v>
      </c>
      <c r="CT11" s="56"/>
      <c r="CU11" s="50">
        <f t="shared" si="50"/>
        <v>46784</v>
      </c>
      <c r="CV11" s="51">
        <f t="shared" si="51"/>
        <v>46844</v>
      </c>
      <c r="CW11" s="48">
        <v>2</v>
      </c>
      <c r="CX11" s="56"/>
      <c r="CY11" s="50">
        <f t="shared" si="52"/>
        <v>46844</v>
      </c>
      <c r="CZ11" s="51">
        <f t="shared" si="53"/>
        <v>46905</v>
      </c>
      <c r="DA11" s="48">
        <v>2</v>
      </c>
      <c r="DB11" s="56"/>
      <c r="DC11" s="50">
        <f t="shared" si="54"/>
        <v>46905</v>
      </c>
      <c r="DD11" s="51">
        <f t="shared" si="55"/>
        <v>46966</v>
      </c>
      <c r="DE11" s="48">
        <v>2</v>
      </c>
      <c r="DF11" s="57"/>
      <c r="DG11" s="50">
        <f t="shared" si="56"/>
        <v>46966</v>
      </c>
      <c r="DH11" s="51">
        <f t="shared" si="57"/>
        <v>47178</v>
      </c>
      <c r="DI11" s="48">
        <v>7</v>
      </c>
      <c r="DJ11">
        <f t="shared" si="58"/>
        <v>-11</v>
      </c>
    </row>
    <row r="12" spans="2:123" x14ac:dyDescent="0.3">
      <c r="B12" s="58" t="s">
        <v>59</v>
      </c>
      <c r="C12" s="59" t="s">
        <v>60</v>
      </c>
      <c r="D12" s="60" t="s">
        <v>53</v>
      </c>
      <c r="F12" s="61">
        <f t="shared" si="7"/>
        <v>44681</v>
      </c>
      <c r="G12" s="62">
        <f t="shared" si="8"/>
        <v>44804</v>
      </c>
      <c r="H12" s="63">
        <v>4</v>
      </c>
      <c r="J12" s="61">
        <f t="shared" si="9"/>
        <v>45350</v>
      </c>
      <c r="K12" s="62">
        <f t="shared" si="0"/>
        <v>45897</v>
      </c>
      <c r="L12" s="63">
        <f t="shared" si="1"/>
        <v>18</v>
      </c>
      <c r="N12" s="61">
        <f t="shared" si="10"/>
        <v>45898</v>
      </c>
      <c r="O12" s="62">
        <f t="shared" si="2"/>
        <v>45898</v>
      </c>
      <c r="P12" s="64">
        <f t="shared" si="3"/>
        <v>0</v>
      </c>
      <c r="Q12" s="49">
        <f t="shared" si="11"/>
        <v>45901</v>
      </c>
      <c r="S12" s="65">
        <f t="shared" si="12"/>
        <v>45359</v>
      </c>
      <c r="T12" s="66">
        <f t="shared" si="13"/>
        <v>45408</v>
      </c>
      <c r="U12" s="63">
        <v>35</v>
      </c>
      <c r="W12" s="61">
        <f t="shared" si="14"/>
        <v>45411</v>
      </c>
      <c r="X12" s="62">
        <f t="shared" si="15"/>
        <v>45495</v>
      </c>
      <c r="Y12" s="63">
        <v>60</v>
      </c>
      <c r="AA12" s="61">
        <f t="shared" si="16"/>
        <v>45496</v>
      </c>
      <c r="AB12" s="62">
        <f t="shared" si="17"/>
        <v>45580</v>
      </c>
      <c r="AC12" s="63">
        <v>60</v>
      </c>
      <c r="AE12" s="61">
        <f t="shared" si="18"/>
        <v>45633</v>
      </c>
      <c r="AF12" s="62">
        <f t="shared" si="19"/>
        <v>45664</v>
      </c>
      <c r="AG12" s="63">
        <v>1</v>
      </c>
      <c r="AI12" s="61">
        <f t="shared" si="20"/>
        <v>45474</v>
      </c>
      <c r="AJ12" s="62">
        <f t="shared" si="21"/>
        <v>45509</v>
      </c>
      <c r="AK12" s="63">
        <v>25</v>
      </c>
      <c r="AM12" s="61">
        <f t="shared" si="22"/>
        <v>45510</v>
      </c>
      <c r="AN12" s="62">
        <f t="shared" si="23"/>
        <v>45594</v>
      </c>
      <c r="AO12" s="63">
        <v>60</v>
      </c>
      <c r="AQ12" s="61">
        <f t="shared" si="24"/>
        <v>45665</v>
      </c>
      <c r="AR12" s="62">
        <f t="shared" si="25"/>
        <v>45806</v>
      </c>
      <c r="AS12" s="67">
        <v>21</v>
      </c>
      <c r="AT12" s="68">
        <v>80</v>
      </c>
      <c r="AV12" s="61">
        <f t="shared" si="26"/>
        <v>45807</v>
      </c>
      <c r="AW12" s="62">
        <f t="shared" si="27"/>
        <v>46021</v>
      </c>
      <c r="AX12" s="63">
        <v>7</v>
      </c>
      <c r="AZ12" s="61">
        <f t="shared" si="28"/>
        <v>45510</v>
      </c>
      <c r="BA12" s="62">
        <f t="shared" si="29"/>
        <v>45552</v>
      </c>
      <c r="BB12" s="63">
        <v>30</v>
      </c>
      <c r="BD12" s="61">
        <f t="shared" si="30"/>
        <v>45553</v>
      </c>
      <c r="BE12" s="62">
        <f t="shared" si="31"/>
        <v>45770</v>
      </c>
      <c r="BF12" s="63">
        <v>155</v>
      </c>
      <c r="BH12" s="61">
        <f t="shared" si="32"/>
        <v>45741</v>
      </c>
      <c r="BI12" s="62">
        <f t="shared" si="33"/>
        <v>45867</v>
      </c>
      <c r="BJ12" s="63">
        <v>90</v>
      </c>
      <c r="BL12" s="61">
        <f t="shared" si="34"/>
        <v>45868</v>
      </c>
      <c r="BM12" s="62">
        <f t="shared" si="35"/>
        <v>46021</v>
      </c>
      <c r="BN12" s="63">
        <v>5</v>
      </c>
      <c r="BP12" s="61">
        <f t="shared" si="36"/>
        <v>45824</v>
      </c>
      <c r="BQ12" s="62">
        <f t="shared" si="37"/>
        <v>45929</v>
      </c>
      <c r="BR12" s="63">
        <v>75</v>
      </c>
      <c r="BT12" s="61">
        <f t="shared" si="38"/>
        <v>45930</v>
      </c>
      <c r="BU12" s="62">
        <f t="shared" si="39"/>
        <v>46021</v>
      </c>
      <c r="BV12" s="63">
        <v>3</v>
      </c>
      <c r="BX12" s="61">
        <f t="shared" si="40"/>
        <v>46022</v>
      </c>
      <c r="BY12" s="62">
        <f t="shared" si="4"/>
        <v>46022</v>
      </c>
      <c r="BZ12" s="64">
        <f t="shared" si="5"/>
        <v>0</v>
      </c>
      <c r="CB12" s="65">
        <f t="shared" si="41"/>
        <v>45359</v>
      </c>
      <c r="CC12" s="66">
        <f t="shared" si="42"/>
        <v>45471</v>
      </c>
      <c r="CD12" s="63">
        <v>80</v>
      </c>
      <c r="CF12" s="65">
        <f t="shared" si="43"/>
        <v>45473</v>
      </c>
      <c r="CG12" s="66">
        <f t="shared" si="44"/>
        <v>46021</v>
      </c>
      <c r="CH12" s="63">
        <f t="shared" si="6"/>
        <v>18</v>
      </c>
      <c r="CJ12" s="65">
        <f t="shared" si="45"/>
        <v>46022</v>
      </c>
      <c r="CK12" s="66">
        <f t="shared" si="46"/>
        <v>46022</v>
      </c>
      <c r="CL12" s="63">
        <f t="shared" si="47"/>
        <v>0</v>
      </c>
      <c r="CN12" s="54">
        <v>46023</v>
      </c>
      <c r="CO12" s="55">
        <v>45901</v>
      </c>
      <c r="CQ12" s="65">
        <f t="shared" si="48"/>
        <v>45717</v>
      </c>
      <c r="CR12" s="66">
        <f t="shared" si="49"/>
        <v>45778</v>
      </c>
      <c r="CS12" s="64">
        <v>2</v>
      </c>
      <c r="CT12" s="56"/>
      <c r="CU12" s="65">
        <f t="shared" si="50"/>
        <v>45778</v>
      </c>
      <c r="CV12" s="66">
        <f t="shared" si="51"/>
        <v>45839</v>
      </c>
      <c r="CW12" s="64">
        <v>2</v>
      </c>
      <c r="CX12" s="56"/>
      <c r="CY12" s="65">
        <f t="shared" si="52"/>
        <v>45839</v>
      </c>
      <c r="CZ12" s="66">
        <f t="shared" si="53"/>
        <v>45901</v>
      </c>
      <c r="DA12" s="64">
        <v>2</v>
      </c>
      <c r="DB12" s="56"/>
      <c r="DC12" s="65">
        <f t="shared" si="54"/>
        <v>45901</v>
      </c>
      <c r="DD12" s="66">
        <f t="shared" si="55"/>
        <v>45962</v>
      </c>
      <c r="DE12" s="64">
        <v>2</v>
      </c>
      <c r="DF12" s="57"/>
      <c r="DG12" s="65">
        <f t="shared" si="56"/>
        <v>45962</v>
      </c>
      <c r="DH12" s="66">
        <f t="shared" si="57"/>
        <v>46174</v>
      </c>
      <c r="DI12" s="64">
        <v>7</v>
      </c>
      <c r="DJ12">
        <f t="shared" si="58"/>
        <v>-89</v>
      </c>
    </row>
    <row r="13" spans="2:123" x14ac:dyDescent="0.3">
      <c r="B13" s="42" t="s">
        <v>59</v>
      </c>
      <c r="C13" s="42" t="s">
        <v>61</v>
      </c>
      <c r="D13" s="44" t="s">
        <v>53</v>
      </c>
      <c r="F13" s="45">
        <f t="shared" si="7"/>
        <v>45656</v>
      </c>
      <c r="G13" s="46">
        <f t="shared" si="8"/>
        <v>45777</v>
      </c>
      <c r="H13" s="47">
        <v>4</v>
      </c>
      <c r="J13" s="45">
        <f t="shared" si="9"/>
        <v>46322</v>
      </c>
      <c r="K13" s="46">
        <f t="shared" si="0"/>
        <v>46870</v>
      </c>
      <c r="L13" s="47">
        <f t="shared" si="1"/>
        <v>18</v>
      </c>
      <c r="N13" s="45">
        <f t="shared" si="10"/>
        <v>46871</v>
      </c>
      <c r="O13" s="46">
        <f t="shared" si="2"/>
        <v>46871</v>
      </c>
      <c r="P13" s="48">
        <f t="shared" si="3"/>
        <v>0</v>
      </c>
      <c r="Q13" s="49">
        <f t="shared" si="11"/>
        <v>46874</v>
      </c>
      <c r="S13" s="50">
        <f t="shared" si="12"/>
        <v>46195</v>
      </c>
      <c r="T13" s="51">
        <f t="shared" si="13"/>
        <v>46244</v>
      </c>
      <c r="U13" s="47">
        <v>35</v>
      </c>
      <c r="W13" s="45">
        <f t="shared" si="14"/>
        <v>46245</v>
      </c>
      <c r="X13" s="46">
        <f t="shared" si="15"/>
        <v>46329</v>
      </c>
      <c r="Y13" s="47">
        <v>60</v>
      </c>
      <c r="AA13" s="45">
        <f t="shared" si="16"/>
        <v>46330</v>
      </c>
      <c r="AB13" s="46">
        <f t="shared" si="17"/>
        <v>46414</v>
      </c>
      <c r="AC13" s="47">
        <v>60</v>
      </c>
      <c r="AE13" s="45">
        <f t="shared" si="18"/>
        <v>46467</v>
      </c>
      <c r="AF13" s="46">
        <f t="shared" si="19"/>
        <v>46498</v>
      </c>
      <c r="AG13" s="47">
        <v>1</v>
      </c>
      <c r="AI13" s="45">
        <f t="shared" si="20"/>
        <v>46308</v>
      </c>
      <c r="AJ13" s="46">
        <f t="shared" si="21"/>
        <v>46343</v>
      </c>
      <c r="AK13" s="47">
        <v>25</v>
      </c>
      <c r="AM13" s="45">
        <f t="shared" si="22"/>
        <v>46344</v>
      </c>
      <c r="AN13" s="46">
        <f t="shared" si="23"/>
        <v>46428</v>
      </c>
      <c r="AO13" s="47">
        <v>60</v>
      </c>
      <c r="AQ13" s="45">
        <f t="shared" si="24"/>
        <v>46499</v>
      </c>
      <c r="AR13" s="46">
        <f t="shared" si="25"/>
        <v>46640</v>
      </c>
      <c r="AS13" s="52">
        <v>21</v>
      </c>
      <c r="AT13" s="53">
        <v>80</v>
      </c>
      <c r="AV13" s="45">
        <f t="shared" si="26"/>
        <v>46643</v>
      </c>
      <c r="AW13" s="46">
        <f t="shared" si="27"/>
        <v>46856</v>
      </c>
      <c r="AX13" s="47">
        <v>7</v>
      </c>
      <c r="AZ13" s="45">
        <f t="shared" si="28"/>
        <v>46344</v>
      </c>
      <c r="BA13" s="46">
        <f t="shared" si="29"/>
        <v>46386</v>
      </c>
      <c r="BB13" s="47">
        <v>30</v>
      </c>
      <c r="BD13" s="45">
        <f t="shared" si="30"/>
        <v>46387</v>
      </c>
      <c r="BE13" s="46">
        <f t="shared" si="31"/>
        <v>46604</v>
      </c>
      <c r="BF13" s="47">
        <v>155</v>
      </c>
      <c r="BH13" s="45">
        <f t="shared" si="32"/>
        <v>46577</v>
      </c>
      <c r="BI13" s="46">
        <f t="shared" si="33"/>
        <v>46703</v>
      </c>
      <c r="BJ13" s="47">
        <v>90</v>
      </c>
      <c r="BL13" s="45">
        <f t="shared" si="34"/>
        <v>46704</v>
      </c>
      <c r="BM13" s="46">
        <f t="shared" si="35"/>
        <v>46856</v>
      </c>
      <c r="BN13" s="47">
        <v>5</v>
      </c>
      <c r="BP13" s="45">
        <f t="shared" si="36"/>
        <v>46659</v>
      </c>
      <c r="BQ13" s="46">
        <f t="shared" si="37"/>
        <v>46764</v>
      </c>
      <c r="BR13" s="47">
        <v>75</v>
      </c>
      <c r="BT13" s="45">
        <f t="shared" si="38"/>
        <v>46765</v>
      </c>
      <c r="BU13" s="46">
        <f t="shared" si="39"/>
        <v>46856</v>
      </c>
      <c r="BV13" s="47">
        <v>3</v>
      </c>
      <c r="BX13" s="45">
        <f t="shared" si="40"/>
        <v>46857</v>
      </c>
      <c r="BY13" s="46">
        <f t="shared" si="4"/>
        <v>46857</v>
      </c>
      <c r="BZ13" s="48">
        <f t="shared" si="5"/>
        <v>0</v>
      </c>
      <c r="CB13" s="50">
        <f t="shared" si="41"/>
        <v>46195</v>
      </c>
      <c r="CC13" s="51">
        <f t="shared" si="42"/>
        <v>46307</v>
      </c>
      <c r="CD13" s="47">
        <v>80</v>
      </c>
      <c r="CF13" s="50">
        <f t="shared" si="43"/>
        <v>46308</v>
      </c>
      <c r="CG13" s="51">
        <f t="shared" si="44"/>
        <v>46856</v>
      </c>
      <c r="CH13" s="47">
        <f t="shared" si="6"/>
        <v>18</v>
      </c>
      <c r="CJ13" s="50">
        <f t="shared" si="45"/>
        <v>46857</v>
      </c>
      <c r="CK13" s="51">
        <f t="shared" si="46"/>
        <v>46857</v>
      </c>
      <c r="CL13" s="47">
        <f t="shared" si="47"/>
        <v>0</v>
      </c>
      <c r="CN13" s="54">
        <v>46858</v>
      </c>
      <c r="CO13" s="55">
        <v>46874</v>
      </c>
      <c r="CQ13" s="50">
        <f t="shared" si="48"/>
        <v>46692</v>
      </c>
      <c r="CR13" s="51">
        <f t="shared" si="49"/>
        <v>46753</v>
      </c>
      <c r="CS13" s="48">
        <v>2</v>
      </c>
      <c r="CT13" s="56"/>
      <c r="CU13" s="50">
        <f t="shared" si="50"/>
        <v>46753</v>
      </c>
      <c r="CV13" s="51">
        <f t="shared" si="51"/>
        <v>46813</v>
      </c>
      <c r="CW13" s="48">
        <v>2</v>
      </c>
      <c r="CX13" s="56"/>
      <c r="CY13" s="50">
        <f t="shared" si="52"/>
        <v>46813</v>
      </c>
      <c r="CZ13" s="51">
        <f t="shared" si="53"/>
        <v>46874</v>
      </c>
      <c r="DA13" s="48">
        <v>2</v>
      </c>
      <c r="DB13" s="56"/>
      <c r="DC13" s="50">
        <f t="shared" si="54"/>
        <v>46874</v>
      </c>
      <c r="DD13" s="51">
        <f t="shared" si="55"/>
        <v>46935</v>
      </c>
      <c r="DE13" s="48">
        <v>2</v>
      </c>
      <c r="DF13" s="57"/>
      <c r="DG13" s="50">
        <f t="shared" si="56"/>
        <v>46935</v>
      </c>
      <c r="DH13" s="51">
        <f t="shared" si="57"/>
        <v>47150</v>
      </c>
      <c r="DI13" s="48">
        <v>7</v>
      </c>
      <c r="DJ13">
        <f t="shared" si="58"/>
        <v>11</v>
      </c>
    </row>
    <row r="14" spans="2:123" x14ac:dyDescent="0.3">
      <c r="B14" s="58" t="s">
        <v>59</v>
      </c>
      <c r="C14" s="58" t="s">
        <v>62</v>
      </c>
      <c r="D14" s="60" t="s">
        <v>53</v>
      </c>
      <c r="F14" s="61">
        <f t="shared" si="7"/>
        <v>46934</v>
      </c>
      <c r="G14" s="62">
        <f t="shared" si="8"/>
        <v>47057</v>
      </c>
      <c r="H14" s="63">
        <v>4</v>
      </c>
      <c r="J14" s="61">
        <f t="shared" si="9"/>
        <v>47603</v>
      </c>
      <c r="K14" s="62">
        <f>WORKDAY(N14,-1)</f>
        <v>48151</v>
      </c>
      <c r="L14" s="63">
        <f t="shared" si="1"/>
        <v>18</v>
      </c>
      <c r="N14" s="61">
        <f t="shared" si="10"/>
        <v>48152</v>
      </c>
      <c r="O14" s="62">
        <f>WORKDAY(Q14,-1)</f>
        <v>48152</v>
      </c>
      <c r="P14" s="64">
        <f t="shared" si="3"/>
        <v>0</v>
      </c>
      <c r="Q14" s="49">
        <f t="shared" si="11"/>
        <v>48153</v>
      </c>
      <c r="S14" s="65">
        <f t="shared" si="12"/>
        <v>47473</v>
      </c>
      <c r="T14" s="66">
        <f t="shared" si="13"/>
        <v>47522</v>
      </c>
      <c r="U14" s="63">
        <v>35</v>
      </c>
      <c r="W14" s="61">
        <f t="shared" si="14"/>
        <v>47525</v>
      </c>
      <c r="X14" s="62">
        <f t="shared" si="15"/>
        <v>47609</v>
      </c>
      <c r="Y14" s="63">
        <v>60</v>
      </c>
      <c r="AA14" s="61">
        <f t="shared" si="16"/>
        <v>47610</v>
      </c>
      <c r="AB14" s="62">
        <f t="shared" si="17"/>
        <v>47694</v>
      </c>
      <c r="AC14" s="63">
        <v>60</v>
      </c>
      <c r="AE14" s="61">
        <f t="shared" si="18"/>
        <v>47748</v>
      </c>
      <c r="AF14" s="62">
        <f t="shared" si="19"/>
        <v>47778</v>
      </c>
      <c r="AG14" s="63">
        <v>1</v>
      </c>
      <c r="AI14" s="61">
        <f t="shared" si="20"/>
        <v>47588</v>
      </c>
      <c r="AJ14" s="62">
        <f t="shared" si="21"/>
        <v>47623</v>
      </c>
      <c r="AK14" s="63">
        <v>25</v>
      </c>
      <c r="AM14" s="61">
        <f t="shared" si="22"/>
        <v>47624</v>
      </c>
      <c r="AN14" s="62">
        <f t="shared" si="23"/>
        <v>47708</v>
      </c>
      <c r="AO14" s="63">
        <v>60</v>
      </c>
      <c r="AQ14" s="61">
        <f t="shared" si="24"/>
        <v>47779</v>
      </c>
      <c r="AR14" s="62">
        <f t="shared" si="25"/>
        <v>47920</v>
      </c>
      <c r="AS14" s="67">
        <v>21</v>
      </c>
      <c r="AT14" s="68">
        <v>80</v>
      </c>
      <c r="AV14" s="61">
        <f t="shared" si="26"/>
        <v>47921</v>
      </c>
      <c r="AW14" s="62">
        <f t="shared" si="27"/>
        <v>48135</v>
      </c>
      <c r="AX14" s="63">
        <v>7</v>
      </c>
      <c r="AZ14" s="61">
        <f t="shared" si="28"/>
        <v>47624</v>
      </c>
      <c r="BA14" s="62">
        <f t="shared" si="29"/>
        <v>47666</v>
      </c>
      <c r="BB14" s="63">
        <v>30</v>
      </c>
      <c r="BD14" s="61">
        <f t="shared" si="30"/>
        <v>47667</v>
      </c>
      <c r="BE14" s="62">
        <f t="shared" si="31"/>
        <v>47884</v>
      </c>
      <c r="BF14" s="63">
        <v>155</v>
      </c>
      <c r="BH14" s="61">
        <f t="shared" si="32"/>
        <v>47855</v>
      </c>
      <c r="BI14" s="62">
        <f t="shared" si="33"/>
        <v>47981</v>
      </c>
      <c r="BJ14" s="63">
        <v>90</v>
      </c>
      <c r="BL14" s="61">
        <f t="shared" si="34"/>
        <v>47982</v>
      </c>
      <c r="BM14" s="62">
        <f t="shared" si="35"/>
        <v>48135</v>
      </c>
      <c r="BN14" s="63">
        <v>5</v>
      </c>
      <c r="BP14" s="61">
        <f t="shared" si="36"/>
        <v>47935</v>
      </c>
      <c r="BQ14" s="62">
        <f t="shared" si="37"/>
        <v>48040</v>
      </c>
      <c r="BR14" s="63">
        <v>75</v>
      </c>
      <c r="BT14" s="61">
        <f t="shared" si="38"/>
        <v>48043</v>
      </c>
      <c r="BU14" s="62">
        <f t="shared" si="39"/>
        <v>48135</v>
      </c>
      <c r="BV14" s="63">
        <v>3</v>
      </c>
      <c r="BX14" s="61">
        <f t="shared" si="40"/>
        <v>48136</v>
      </c>
      <c r="BY14" s="62">
        <f t="shared" si="4"/>
        <v>48136</v>
      </c>
      <c r="BZ14" s="64">
        <f t="shared" si="5"/>
        <v>0</v>
      </c>
      <c r="CB14" s="65">
        <f t="shared" si="41"/>
        <v>47473</v>
      </c>
      <c r="CC14" s="66">
        <f t="shared" si="42"/>
        <v>47585</v>
      </c>
      <c r="CD14" s="63">
        <v>80</v>
      </c>
      <c r="CF14" s="65">
        <f t="shared" si="43"/>
        <v>47587</v>
      </c>
      <c r="CG14" s="66">
        <f t="shared" si="44"/>
        <v>48135</v>
      </c>
      <c r="CH14" s="63">
        <f t="shared" si="6"/>
        <v>18</v>
      </c>
      <c r="CJ14" s="65">
        <f t="shared" si="45"/>
        <v>48136</v>
      </c>
      <c r="CK14" s="66">
        <f t="shared" si="46"/>
        <v>48136</v>
      </c>
      <c r="CL14" s="63">
        <f t="shared" si="47"/>
        <v>0</v>
      </c>
      <c r="CN14" s="54">
        <v>48137</v>
      </c>
      <c r="CO14" s="55">
        <v>48153</v>
      </c>
      <c r="CQ14" s="65">
        <f t="shared" si="48"/>
        <v>47969</v>
      </c>
      <c r="CR14" s="66">
        <f t="shared" si="49"/>
        <v>48030</v>
      </c>
      <c r="CS14" s="64">
        <v>2</v>
      </c>
      <c r="CT14" s="56"/>
      <c r="CU14" s="65">
        <f t="shared" si="50"/>
        <v>48030</v>
      </c>
      <c r="CV14" s="66">
        <f t="shared" si="51"/>
        <v>48092</v>
      </c>
      <c r="CW14" s="64">
        <v>2</v>
      </c>
      <c r="CX14" s="56"/>
      <c r="CY14" s="65">
        <f t="shared" si="52"/>
        <v>48092</v>
      </c>
      <c r="CZ14" s="66">
        <f t="shared" si="53"/>
        <v>48153</v>
      </c>
      <c r="DA14" s="64">
        <v>2</v>
      </c>
      <c r="DB14" s="56"/>
      <c r="DC14" s="65">
        <f t="shared" si="54"/>
        <v>48153</v>
      </c>
      <c r="DD14" s="66">
        <f t="shared" si="55"/>
        <v>48214</v>
      </c>
      <c r="DE14" s="64">
        <v>2</v>
      </c>
      <c r="DF14" s="57"/>
      <c r="DG14" s="65">
        <f t="shared" si="56"/>
        <v>48214</v>
      </c>
      <c r="DH14" s="66">
        <f t="shared" si="57"/>
        <v>48427</v>
      </c>
      <c r="DI14" s="64">
        <v>7</v>
      </c>
      <c r="DJ14">
        <f t="shared" si="58"/>
        <v>12</v>
      </c>
    </row>
    <row r="15" spans="2:123" x14ac:dyDescent="0.3">
      <c r="B15" s="42" t="s">
        <v>63</v>
      </c>
      <c r="C15" s="43" t="s">
        <v>64</v>
      </c>
      <c r="D15" s="44" t="s">
        <v>53</v>
      </c>
      <c r="F15" s="45">
        <f t="shared" si="7"/>
        <v>45169</v>
      </c>
      <c r="G15" s="46">
        <f t="shared" si="8"/>
        <v>45291</v>
      </c>
      <c r="H15" s="47">
        <v>4</v>
      </c>
      <c r="J15" s="45">
        <f t="shared" si="9"/>
        <v>45838</v>
      </c>
      <c r="K15" s="46">
        <f t="shared" ref="K15:K27" si="59">WORKDAY(N15,-1)</f>
        <v>46386</v>
      </c>
      <c r="L15" s="47">
        <f t="shared" si="1"/>
        <v>18</v>
      </c>
      <c r="N15" s="45">
        <f t="shared" si="10"/>
        <v>46387</v>
      </c>
      <c r="O15" s="46">
        <f t="shared" ref="O15:O27" si="60">WORKDAY(Q15,-1)</f>
        <v>46387</v>
      </c>
      <c r="P15" s="48">
        <f t="shared" si="3"/>
        <v>0</v>
      </c>
      <c r="Q15" s="49">
        <f t="shared" si="11"/>
        <v>46388</v>
      </c>
      <c r="S15" s="50">
        <f t="shared" si="12"/>
        <v>45723</v>
      </c>
      <c r="T15" s="51">
        <f t="shared" si="13"/>
        <v>45772</v>
      </c>
      <c r="U15" s="47">
        <v>35</v>
      </c>
      <c r="W15" s="45">
        <f t="shared" si="14"/>
        <v>45775</v>
      </c>
      <c r="X15" s="46">
        <f t="shared" si="15"/>
        <v>45859</v>
      </c>
      <c r="Y15" s="47">
        <v>60</v>
      </c>
      <c r="AA15" s="45">
        <f t="shared" si="16"/>
        <v>45860</v>
      </c>
      <c r="AB15" s="46">
        <f t="shared" si="17"/>
        <v>45944</v>
      </c>
      <c r="AC15" s="47">
        <v>60</v>
      </c>
      <c r="AE15" s="45">
        <f t="shared" si="18"/>
        <v>45998</v>
      </c>
      <c r="AF15" s="46">
        <f t="shared" si="19"/>
        <v>46029</v>
      </c>
      <c r="AG15" s="47">
        <v>1</v>
      </c>
      <c r="AI15" s="45">
        <f t="shared" si="20"/>
        <v>45838</v>
      </c>
      <c r="AJ15" s="46">
        <f t="shared" si="21"/>
        <v>45873</v>
      </c>
      <c r="AK15" s="47">
        <v>25</v>
      </c>
      <c r="AM15" s="45">
        <f t="shared" si="22"/>
        <v>45874</v>
      </c>
      <c r="AN15" s="46">
        <f t="shared" si="23"/>
        <v>45958</v>
      </c>
      <c r="AO15" s="47">
        <v>60</v>
      </c>
      <c r="AQ15" s="45">
        <f t="shared" si="24"/>
        <v>46030</v>
      </c>
      <c r="AR15" s="46">
        <f t="shared" si="25"/>
        <v>46171</v>
      </c>
      <c r="AS15" s="52">
        <v>21</v>
      </c>
      <c r="AT15" s="53">
        <v>80</v>
      </c>
      <c r="AV15" s="45">
        <f t="shared" si="26"/>
        <v>46172</v>
      </c>
      <c r="AW15" s="46">
        <f t="shared" si="27"/>
        <v>46386</v>
      </c>
      <c r="AX15" s="47">
        <v>7</v>
      </c>
      <c r="AZ15" s="45">
        <f t="shared" si="28"/>
        <v>45874</v>
      </c>
      <c r="BA15" s="46">
        <f t="shared" si="29"/>
        <v>45916</v>
      </c>
      <c r="BB15" s="47">
        <v>30</v>
      </c>
      <c r="BD15" s="45">
        <f t="shared" si="30"/>
        <v>45917</v>
      </c>
      <c r="BE15" s="46">
        <f t="shared" si="31"/>
        <v>46134</v>
      </c>
      <c r="BF15" s="47">
        <v>155</v>
      </c>
      <c r="BH15" s="45">
        <f t="shared" si="32"/>
        <v>46106</v>
      </c>
      <c r="BI15" s="46">
        <f t="shared" si="33"/>
        <v>46232</v>
      </c>
      <c r="BJ15" s="47">
        <v>90</v>
      </c>
      <c r="BL15" s="45">
        <f t="shared" si="34"/>
        <v>46233</v>
      </c>
      <c r="BM15" s="46">
        <f t="shared" si="35"/>
        <v>46386</v>
      </c>
      <c r="BN15" s="47">
        <v>5</v>
      </c>
      <c r="BP15" s="45">
        <f t="shared" si="36"/>
        <v>46189</v>
      </c>
      <c r="BQ15" s="46">
        <f t="shared" si="37"/>
        <v>46294</v>
      </c>
      <c r="BR15" s="47">
        <v>75</v>
      </c>
      <c r="BT15" s="45">
        <f t="shared" si="38"/>
        <v>46295</v>
      </c>
      <c r="BU15" s="46">
        <f t="shared" si="39"/>
        <v>46386</v>
      </c>
      <c r="BV15" s="47">
        <v>3</v>
      </c>
      <c r="BX15" s="45">
        <f t="shared" si="40"/>
        <v>46387</v>
      </c>
      <c r="BY15" s="46">
        <f t="shared" si="4"/>
        <v>46387</v>
      </c>
      <c r="BZ15" s="48">
        <f t="shared" si="5"/>
        <v>0</v>
      </c>
      <c r="CB15" s="50">
        <f t="shared" si="41"/>
        <v>45723</v>
      </c>
      <c r="CC15" s="51">
        <f t="shared" si="42"/>
        <v>45835</v>
      </c>
      <c r="CD15" s="47">
        <v>80</v>
      </c>
      <c r="CF15" s="50">
        <f t="shared" si="43"/>
        <v>45838</v>
      </c>
      <c r="CG15" s="51">
        <f t="shared" si="44"/>
        <v>46386</v>
      </c>
      <c r="CH15" s="47">
        <f t="shared" si="6"/>
        <v>18</v>
      </c>
      <c r="CJ15" s="50">
        <f t="shared" si="45"/>
        <v>46387</v>
      </c>
      <c r="CK15" s="51">
        <f t="shared" si="46"/>
        <v>46387</v>
      </c>
      <c r="CL15" s="47">
        <f t="shared" si="47"/>
        <v>0</v>
      </c>
      <c r="CN15" s="54">
        <v>46388</v>
      </c>
      <c r="CO15" s="55">
        <v>46388</v>
      </c>
      <c r="CQ15" s="50">
        <f t="shared" si="48"/>
        <v>46204</v>
      </c>
      <c r="CR15" s="51">
        <f t="shared" si="49"/>
        <v>46266</v>
      </c>
      <c r="CS15" s="48">
        <v>2</v>
      </c>
      <c r="CT15" s="56"/>
      <c r="CU15" s="50">
        <f t="shared" si="50"/>
        <v>46266</v>
      </c>
      <c r="CV15" s="51">
        <f t="shared" si="51"/>
        <v>46327</v>
      </c>
      <c r="CW15" s="48">
        <v>2</v>
      </c>
      <c r="CX15" s="56"/>
      <c r="CY15" s="50">
        <f t="shared" si="52"/>
        <v>46327</v>
      </c>
      <c r="CZ15" s="51">
        <f t="shared" si="53"/>
        <v>46388</v>
      </c>
      <c r="DA15" s="48">
        <v>2</v>
      </c>
      <c r="DB15" s="56"/>
      <c r="DC15" s="50">
        <f t="shared" si="54"/>
        <v>46388</v>
      </c>
      <c r="DD15" s="51">
        <f t="shared" si="55"/>
        <v>46447</v>
      </c>
      <c r="DE15" s="48">
        <v>2</v>
      </c>
      <c r="DF15" s="57"/>
      <c r="DG15" s="50">
        <f t="shared" si="56"/>
        <v>46447</v>
      </c>
      <c r="DH15" s="51">
        <f t="shared" si="57"/>
        <v>46661</v>
      </c>
      <c r="DI15" s="48">
        <v>7</v>
      </c>
      <c r="DJ15">
        <f t="shared" si="58"/>
        <v>-1</v>
      </c>
    </row>
    <row r="16" spans="2:123" x14ac:dyDescent="0.3">
      <c r="B16" s="58" t="s">
        <v>65</v>
      </c>
      <c r="C16" s="59" t="s">
        <v>66</v>
      </c>
      <c r="D16" s="60" t="s">
        <v>53</v>
      </c>
      <c r="F16" s="61">
        <f t="shared" si="7"/>
        <v>44681</v>
      </c>
      <c r="G16" s="62">
        <f t="shared" si="8"/>
        <v>44804</v>
      </c>
      <c r="H16" s="63">
        <v>4</v>
      </c>
      <c r="J16" s="61">
        <f t="shared" si="9"/>
        <v>45350</v>
      </c>
      <c r="K16" s="62">
        <f t="shared" si="59"/>
        <v>45897</v>
      </c>
      <c r="L16" s="63">
        <f t="shared" si="1"/>
        <v>18</v>
      </c>
      <c r="N16" s="61">
        <f t="shared" si="10"/>
        <v>45898</v>
      </c>
      <c r="O16" s="62">
        <f t="shared" si="60"/>
        <v>45898</v>
      </c>
      <c r="P16" s="64">
        <f t="shared" si="3"/>
        <v>0</v>
      </c>
      <c r="Q16" s="49">
        <f t="shared" si="11"/>
        <v>45901</v>
      </c>
      <c r="S16" s="65">
        <f t="shared" si="12"/>
        <v>45173</v>
      </c>
      <c r="T16" s="66">
        <f t="shared" si="13"/>
        <v>45222</v>
      </c>
      <c r="U16" s="63">
        <v>35</v>
      </c>
      <c r="W16" s="61">
        <f t="shared" si="14"/>
        <v>45223</v>
      </c>
      <c r="X16" s="62">
        <f t="shared" si="15"/>
        <v>45307</v>
      </c>
      <c r="Y16" s="63">
        <v>60</v>
      </c>
      <c r="AA16" s="61">
        <f t="shared" si="16"/>
        <v>45308</v>
      </c>
      <c r="AB16" s="62">
        <f t="shared" si="17"/>
        <v>45392</v>
      </c>
      <c r="AC16" s="63">
        <v>60</v>
      </c>
      <c r="AE16" s="61">
        <f t="shared" si="18"/>
        <v>45447</v>
      </c>
      <c r="AF16" s="62">
        <f t="shared" si="19"/>
        <v>45477</v>
      </c>
      <c r="AG16" s="63">
        <v>1</v>
      </c>
      <c r="AI16" s="61">
        <f t="shared" si="20"/>
        <v>45286</v>
      </c>
      <c r="AJ16" s="62">
        <f t="shared" si="21"/>
        <v>45321</v>
      </c>
      <c r="AK16" s="63">
        <v>25</v>
      </c>
      <c r="AM16" s="61">
        <f t="shared" si="22"/>
        <v>45322</v>
      </c>
      <c r="AN16" s="62">
        <f t="shared" si="23"/>
        <v>45406</v>
      </c>
      <c r="AO16" s="63">
        <v>60</v>
      </c>
      <c r="AQ16" s="61">
        <f t="shared" si="24"/>
        <v>45478</v>
      </c>
      <c r="AR16" s="62">
        <f t="shared" si="25"/>
        <v>45621</v>
      </c>
      <c r="AS16" s="67">
        <v>21</v>
      </c>
      <c r="AT16" s="68">
        <v>80</v>
      </c>
      <c r="AV16" s="61">
        <f t="shared" si="26"/>
        <v>45622</v>
      </c>
      <c r="AW16" s="62">
        <f t="shared" si="27"/>
        <v>45834</v>
      </c>
      <c r="AX16" s="63">
        <v>7</v>
      </c>
      <c r="AZ16" s="61">
        <f t="shared" si="28"/>
        <v>45322</v>
      </c>
      <c r="BA16" s="62">
        <f t="shared" si="29"/>
        <v>45364</v>
      </c>
      <c r="BB16" s="63">
        <v>30</v>
      </c>
      <c r="BD16" s="61">
        <f t="shared" si="30"/>
        <v>45365</v>
      </c>
      <c r="BE16" s="62">
        <f t="shared" si="31"/>
        <v>45582</v>
      </c>
      <c r="BF16" s="63">
        <v>155</v>
      </c>
      <c r="BH16" s="61">
        <f t="shared" si="32"/>
        <v>45555</v>
      </c>
      <c r="BI16" s="62">
        <f t="shared" si="33"/>
        <v>45681</v>
      </c>
      <c r="BJ16" s="63">
        <v>90</v>
      </c>
      <c r="BL16" s="61">
        <f t="shared" si="34"/>
        <v>45683</v>
      </c>
      <c r="BM16" s="62">
        <f t="shared" si="35"/>
        <v>45834</v>
      </c>
      <c r="BN16" s="63">
        <v>5</v>
      </c>
      <c r="BP16" s="61">
        <f t="shared" si="36"/>
        <v>45636</v>
      </c>
      <c r="BQ16" s="62">
        <f t="shared" si="37"/>
        <v>45741</v>
      </c>
      <c r="BR16" s="63">
        <v>75</v>
      </c>
      <c r="BT16" s="61">
        <f t="shared" si="38"/>
        <v>45742</v>
      </c>
      <c r="BU16" s="62">
        <f t="shared" si="39"/>
        <v>45834</v>
      </c>
      <c r="BV16" s="63">
        <v>3</v>
      </c>
      <c r="BX16" s="61">
        <f t="shared" si="40"/>
        <v>45835</v>
      </c>
      <c r="BY16" s="62">
        <f t="shared" si="4"/>
        <v>45835</v>
      </c>
      <c r="BZ16" s="64">
        <f t="shared" si="5"/>
        <v>0</v>
      </c>
      <c r="CB16" s="65">
        <f t="shared" si="41"/>
        <v>45173</v>
      </c>
      <c r="CC16" s="66">
        <f t="shared" si="42"/>
        <v>45285</v>
      </c>
      <c r="CD16" s="63">
        <v>80</v>
      </c>
      <c r="CF16" s="65">
        <f t="shared" si="43"/>
        <v>45286</v>
      </c>
      <c r="CG16" s="66">
        <f t="shared" si="44"/>
        <v>45834</v>
      </c>
      <c r="CH16" s="63">
        <f t="shared" si="6"/>
        <v>18</v>
      </c>
      <c r="CJ16" s="65">
        <f t="shared" si="45"/>
        <v>45835</v>
      </c>
      <c r="CK16" s="66">
        <f t="shared" si="46"/>
        <v>45835</v>
      </c>
      <c r="CL16" s="63">
        <f t="shared" si="47"/>
        <v>0</v>
      </c>
      <c r="CN16" s="54">
        <v>45838</v>
      </c>
      <c r="CO16" s="55">
        <v>45901</v>
      </c>
      <c r="CQ16" s="65">
        <f t="shared" si="48"/>
        <v>45717</v>
      </c>
      <c r="CR16" s="66">
        <f t="shared" si="49"/>
        <v>45778</v>
      </c>
      <c r="CS16" s="64">
        <v>2</v>
      </c>
      <c r="CT16" s="56"/>
      <c r="CU16" s="65">
        <f t="shared" si="50"/>
        <v>45778</v>
      </c>
      <c r="CV16" s="66">
        <f t="shared" si="51"/>
        <v>45839</v>
      </c>
      <c r="CW16" s="64">
        <v>2</v>
      </c>
      <c r="CX16" s="56"/>
      <c r="CY16" s="65">
        <f t="shared" si="52"/>
        <v>45839</v>
      </c>
      <c r="CZ16" s="66">
        <f t="shared" si="53"/>
        <v>45901</v>
      </c>
      <c r="DA16" s="64">
        <v>2</v>
      </c>
      <c r="DB16" s="56"/>
      <c r="DC16" s="65">
        <f t="shared" si="54"/>
        <v>45901</v>
      </c>
      <c r="DD16" s="66">
        <f t="shared" si="55"/>
        <v>45962</v>
      </c>
      <c r="DE16" s="64">
        <v>2</v>
      </c>
      <c r="DF16" s="57"/>
      <c r="DG16" s="65">
        <f t="shared" si="56"/>
        <v>45962</v>
      </c>
      <c r="DH16" s="66">
        <f t="shared" si="57"/>
        <v>46174</v>
      </c>
      <c r="DI16" s="64">
        <v>7</v>
      </c>
      <c r="DJ16">
        <f t="shared" si="58"/>
        <v>46</v>
      </c>
    </row>
    <row r="17" spans="2:114" x14ac:dyDescent="0.3">
      <c r="B17" s="42" t="s">
        <v>65</v>
      </c>
      <c r="C17" s="43" t="s">
        <v>67</v>
      </c>
      <c r="D17" s="44" t="s">
        <v>53</v>
      </c>
      <c r="F17" s="45">
        <f t="shared" si="7"/>
        <v>45016</v>
      </c>
      <c r="G17" s="46">
        <f t="shared" si="8"/>
        <v>45138</v>
      </c>
      <c r="H17" s="47">
        <v>4</v>
      </c>
      <c r="J17" s="45">
        <f t="shared" si="9"/>
        <v>45687</v>
      </c>
      <c r="K17" s="46">
        <f t="shared" si="59"/>
        <v>46233</v>
      </c>
      <c r="L17" s="47">
        <f t="shared" si="1"/>
        <v>18</v>
      </c>
      <c r="N17" s="45">
        <f t="shared" si="10"/>
        <v>46234</v>
      </c>
      <c r="O17" s="46">
        <f t="shared" si="60"/>
        <v>46234</v>
      </c>
      <c r="P17" s="48">
        <f t="shared" si="3"/>
        <v>0</v>
      </c>
      <c r="Q17" s="49">
        <f t="shared" si="11"/>
        <v>46235</v>
      </c>
      <c r="S17" s="50">
        <f t="shared" si="12"/>
        <v>45625</v>
      </c>
      <c r="T17" s="51">
        <f t="shared" si="13"/>
        <v>45674</v>
      </c>
      <c r="U17" s="47">
        <v>35</v>
      </c>
      <c r="W17" s="45">
        <f t="shared" si="14"/>
        <v>45677</v>
      </c>
      <c r="X17" s="46">
        <f t="shared" si="15"/>
        <v>45761</v>
      </c>
      <c r="Y17" s="47">
        <v>60</v>
      </c>
      <c r="AA17" s="45">
        <f t="shared" si="16"/>
        <v>45762</v>
      </c>
      <c r="AB17" s="46">
        <f t="shared" si="17"/>
        <v>45846</v>
      </c>
      <c r="AC17" s="47">
        <v>60</v>
      </c>
      <c r="AE17" s="45">
        <f t="shared" si="18"/>
        <v>45901</v>
      </c>
      <c r="AF17" s="46">
        <f t="shared" si="19"/>
        <v>45931</v>
      </c>
      <c r="AG17" s="47">
        <v>1</v>
      </c>
      <c r="AI17" s="45">
        <f t="shared" si="20"/>
        <v>45740</v>
      </c>
      <c r="AJ17" s="46">
        <f t="shared" si="21"/>
        <v>45775</v>
      </c>
      <c r="AK17" s="47">
        <v>25</v>
      </c>
      <c r="AM17" s="45">
        <f t="shared" si="22"/>
        <v>45776</v>
      </c>
      <c r="AN17" s="46">
        <f t="shared" si="23"/>
        <v>45860</v>
      </c>
      <c r="AO17" s="47">
        <v>60</v>
      </c>
      <c r="AQ17" s="45">
        <f t="shared" si="24"/>
        <v>45932</v>
      </c>
      <c r="AR17" s="46">
        <f t="shared" si="25"/>
        <v>46073</v>
      </c>
      <c r="AS17" s="52">
        <v>21</v>
      </c>
      <c r="AT17" s="53">
        <v>80</v>
      </c>
      <c r="AV17" s="45">
        <f t="shared" si="26"/>
        <v>46076</v>
      </c>
      <c r="AW17" s="46">
        <f t="shared" si="27"/>
        <v>46288</v>
      </c>
      <c r="AX17" s="47">
        <v>7</v>
      </c>
      <c r="AZ17" s="45">
        <f t="shared" si="28"/>
        <v>45776</v>
      </c>
      <c r="BA17" s="46">
        <f t="shared" si="29"/>
        <v>45818</v>
      </c>
      <c r="BB17" s="47">
        <v>30</v>
      </c>
      <c r="BD17" s="45">
        <f t="shared" si="30"/>
        <v>45819</v>
      </c>
      <c r="BE17" s="46">
        <f t="shared" si="31"/>
        <v>46036</v>
      </c>
      <c r="BF17" s="47">
        <v>155</v>
      </c>
      <c r="BH17" s="45">
        <f t="shared" si="32"/>
        <v>46008</v>
      </c>
      <c r="BI17" s="46">
        <f t="shared" si="33"/>
        <v>46134</v>
      </c>
      <c r="BJ17" s="47">
        <v>90</v>
      </c>
      <c r="BL17" s="45">
        <f t="shared" si="34"/>
        <v>46135</v>
      </c>
      <c r="BM17" s="46">
        <f t="shared" si="35"/>
        <v>46288</v>
      </c>
      <c r="BN17" s="47">
        <v>5</v>
      </c>
      <c r="BP17" s="45">
        <f t="shared" si="36"/>
        <v>46090</v>
      </c>
      <c r="BQ17" s="46">
        <f t="shared" si="37"/>
        <v>46195</v>
      </c>
      <c r="BR17" s="47">
        <v>75</v>
      </c>
      <c r="BT17" s="45">
        <f t="shared" si="38"/>
        <v>46196</v>
      </c>
      <c r="BU17" s="46">
        <f t="shared" si="39"/>
        <v>46288</v>
      </c>
      <c r="BV17" s="47">
        <v>3</v>
      </c>
      <c r="BX17" s="45">
        <f t="shared" si="40"/>
        <v>46289</v>
      </c>
      <c r="BY17" s="46">
        <f t="shared" si="4"/>
        <v>46289</v>
      </c>
      <c r="BZ17" s="48">
        <f t="shared" si="5"/>
        <v>0</v>
      </c>
      <c r="CB17" s="50">
        <f t="shared" si="41"/>
        <v>45625</v>
      </c>
      <c r="CC17" s="51">
        <f t="shared" si="42"/>
        <v>45737</v>
      </c>
      <c r="CD17" s="47">
        <v>80</v>
      </c>
      <c r="CF17" s="50">
        <f t="shared" si="43"/>
        <v>45739</v>
      </c>
      <c r="CG17" s="51">
        <f t="shared" si="44"/>
        <v>46288</v>
      </c>
      <c r="CH17" s="47">
        <f t="shared" si="6"/>
        <v>18</v>
      </c>
      <c r="CJ17" s="50">
        <f t="shared" si="45"/>
        <v>46289</v>
      </c>
      <c r="CK17" s="51">
        <f t="shared" si="46"/>
        <v>46289</v>
      </c>
      <c r="CL17" s="47">
        <f t="shared" si="47"/>
        <v>0</v>
      </c>
      <c r="CN17" s="54">
        <v>46290</v>
      </c>
      <c r="CO17" s="55">
        <v>46235</v>
      </c>
      <c r="CQ17" s="50">
        <f t="shared" si="48"/>
        <v>46054</v>
      </c>
      <c r="CR17" s="51">
        <f t="shared" si="49"/>
        <v>46113</v>
      </c>
      <c r="CS17" s="48">
        <v>2</v>
      </c>
      <c r="CT17" s="56"/>
      <c r="CU17" s="50">
        <f t="shared" si="50"/>
        <v>46113</v>
      </c>
      <c r="CV17" s="51">
        <f t="shared" si="51"/>
        <v>46174</v>
      </c>
      <c r="CW17" s="48">
        <v>2</v>
      </c>
      <c r="CX17" s="56"/>
      <c r="CY17" s="50">
        <f t="shared" si="52"/>
        <v>46174</v>
      </c>
      <c r="CZ17" s="51">
        <f t="shared" si="53"/>
        <v>46235</v>
      </c>
      <c r="DA17" s="48">
        <v>2</v>
      </c>
      <c r="DB17" s="56"/>
      <c r="DC17" s="50">
        <f t="shared" si="54"/>
        <v>46235</v>
      </c>
      <c r="DD17" s="51">
        <f t="shared" si="55"/>
        <v>46296</v>
      </c>
      <c r="DE17" s="48">
        <v>2</v>
      </c>
      <c r="DF17" s="57"/>
      <c r="DG17" s="50">
        <f t="shared" si="56"/>
        <v>46296</v>
      </c>
      <c r="DH17" s="51">
        <f t="shared" si="57"/>
        <v>46508</v>
      </c>
      <c r="DI17" s="48">
        <v>7</v>
      </c>
      <c r="DJ17">
        <f t="shared" si="58"/>
        <v>-40</v>
      </c>
    </row>
    <row r="18" spans="2:114" x14ac:dyDescent="0.3">
      <c r="B18" s="58" t="s">
        <v>65</v>
      </c>
      <c r="C18" s="59" t="s">
        <v>68</v>
      </c>
      <c r="D18" s="60" t="s">
        <v>53</v>
      </c>
      <c r="F18" s="61">
        <f t="shared" si="7"/>
        <v>45442</v>
      </c>
      <c r="G18" s="62">
        <f t="shared" si="8"/>
        <v>45565</v>
      </c>
      <c r="H18" s="63">
        <v>4</v>
      </c>
      <c r="J18" s="61">
        <f t="shared" si="9"/>
        <v>46110</v>
      </c>
      <c r="K18" s="62">
        <f t="shared" si="59"/>
        <v>46659</v>
      </c>
      <c r="L18" s="63">
        <f t="shared" si="1"/>
        <v>18</v>
      </c>
      <c r="N18" s="61">
        <f t="shared" si="10"/>
        <v>46660</v>
      </c>
      <c r="O18" s="62">
        <f t="shared" si="60"/>
        <v>46660</v>
      </c>
      <c r="P18" s="64">
        <f t="shared" si="3"/>
        <v>0</v>
      </c>
      <c r="Q18" s="49">
        <f t="shared" si="11"/>
        <v>46661</v>
      </c>
      <c r="S18" s="65">
        <f t="shared" si="12"/>
        <v>45968</v>
      </c>
      <c r="T18" s="66">
        <f t="shared" si="13"/>
        <v>46017</v>
      </c>
      <c r="U18" s="63">
        <v>35</v>
      </c>
      <c r="W18" s="61">
        <f t="shared" si="14"/>
        <v>46020</v>
      </c>
      <c r="X18" s="62">
        <f t="shared" si="15"/>
        <v>46104</v>
      </c>
      <c r="Y18" s="63">
        <v>60</v>
      </c>
      <c r="AA18" s="61">
        <f t="shared" si="16"/>
        <v>46105</v>
      </c>
      <c r="AB18" s="62">
        <f t="shared" si="17"/>
        <v>46189</v>
      </c>
      <c r="AC18" s="63">
        <v>60</v>
      </c>
      <c r="AE18" s="61">
        <f t="shared" si="18"/>
        <v>46243</v>
      </c>
      <c r="AF18" s="62">
        <f t="shared" si="19"/>
        <v>46274</v>
      </c>
      <c r="AG18" s="63">
        <v>1</v>
      </c>
      <c r="AI18" s="61">
        <f t="shared" si="20"/>
        <v>46083</v>
      </c>
      <c r="AJ18" s="62">
        <f t="shared" si="21"/>
        <v>46118</v>
      </c>
      <c r="AK18" s="63">
        <v>25</v>
      </c>
      <c r="AM18" s="61">
        <f t="shared" si="22"/>
        <v>46119</v>
      </c>
      <c r="AN18" s="62">
        <f t="shared" si="23"/>
        <v>46203</v>
      </c>
      <c r="AO18" s="63">
        <v>60</v>
      </c>
      <c r="AQ18" s="61">
        <f t="shared" si="24"/>
        <v>46275</v>
      </c>
      <c r="AR18" s="62">
        <f t="shared" si="25"/>
        <v>46416</v>
      </c>
      <c r="AS18" s="67">
        <v>21</v>
      </c>
      <c r="AT18" s="68">
        <v>80</v>
      </c>
      <c r="AV18" s="61">
        <f t="shared" si="26"/>
        <v>46417</v>
      </c>
      <c r="AW18" s="62">
        <f t="shared" si="27"/>
        <v>46629</v>
      </c>
      <c r="AX18" s="63">
        <v>7</v>
      </c>
      <c r="AZ18" s="61">
        <f t="shared" si="28"/>
        <v>46119</v>
      </c>
      <c r="BA18" s="62">
        <f t="shared" si="29"/>
        <v>46161</v>
      </c>
      <c r="BB18" s="63">
        <v>30</v>
      </c>
      <c r="BD18" s="61">
        <f t="shared" si="30"/>
        <v>46162</v>
      </c>
      <c r="BE18" s="62">
        <f t="shared" si="31"/>
        <v>46379</v>
      </c>
      <c r="BF18" s="63">
        <v>155</v>
      </c>
      <c r="BH18" s="61">
        <f t="shared" si="32"/>
        <v>46349</v>
      </c>
      <c r="BI18" s="62">
        <f t="shared" si="33"/>
        <v>46475</v>
      </c>
      <c r="BJ18" s="63">
        <v>90</v>
      </c>
      <c r="BL18" s="61">
        <f t="shared" si="34"/>
        <v>46476</v>
      </c>
      <c r="BM18" s="62">
        <f t="shared" si="35"/>
        <v>46629</v>
      </c>
      <c r="BN18" s="63">
        <v>5</v>
      </c>
      <c r="BP18" s="61">
        <f t="shared" si="36"/>
        <v>46430</v>
      </c>
      <c r="BQ18" s="62">
        <f t="shared" si="37"/>
        <v>46535</v>
      </c>
      <c r="BR18" s="63">
        <v>75</v>
      </c>
      <c r="BT18" s="61">
        <f t="shared" si="38"/>
        <v>46537</v>
      </c>
      <c r="BU18" s="62">
        <f t="shared" si="39"/>
        <v>46629</v>
      </c>
      <c r="BV18" s="63">
        <v>3</v>
      </c>
      <c r="BX18" s="61">
        <f t="shared" si="40"/>
        <v>46630</v>
      </c>
      <c r="BY18" s="62">
        <f t="shared" si="4"/>
        <v>46630</v>
      </c>
      <c r="BZ18" s="64">
        <f t="shared" si="5"/>
        <v>0</v>
      </c>
      <c r="CB18" s="65">
        <f t="shared" si="41"/>
        <v>45968</v>
      </c>
      <c r="CC18" s="66">
        <f t="shared" si="42"/>
        <v>46080</v>
      </c>
      <c r="CD18" s="63">
        <v>80</v>
      </c>
      <c r="CF18" s="65">
        <f t="shared" si="43"/>
        <v>46081</v>
      </c>
      <c r="CG18" s="66">
        <f t="shared" si="44"/>
        <v>46629</v>
      </c>
      <c r="CH18" s="63">
        <f t="shared" si="6"/>
        <v>18</v>
      </c>
      <c r="CJ18" s="65">
        <f t="shared" si="45"/>
        <v>46630</v>
      </c>
      <c r="CK18" s="66">
        <f t="shared" si="46"/>
        <v>46630</v>
      </c>
      <c r="CL18" s="63">
        <f t="shared" si="47"/>
        <v>0</v>
      </c>
      <c r="CN18" s="54">
        <v>46631</v>
      </c>
      <c r="CO18" s="55">
        <v>46661</v>
      </c>
      <c r="CQ18" s="65">
        <f t="shared" si="48"/>
        <v>46478</v>
      </c>
      <c r="CR18" s="66">
        <f t="shared" si="49"/>
        <v>46539</v>
      </c>
      <c r="CS18" s="64">
        <v>2</v>
      </c>
      <c r="CT18" s="56"/>
      <c r="CU18" s="65">
        <f t="shared" si="50"/>
        <v>46539</v>
      </c>
      <c r="CV18" s="66">
        <f t="shared" si="51"/>
        <v>46600</v>
      </c>
      <c r="CW18" s="64">
        <v>2</v>
      </c>
      <c r="CX18" s="56"/>
      <c r="CY18" s="65">
        <f t="shared" si="52"/>
        <v>46600</v>
      </c>
      <c r="CZ18" s="66">
        <f t="shared" si="53"/>
        <v>46661</v>
      </c>
      <c r="DA18" s="64">
        <v>2</v>
      </c>
      <c r="DB18" s="56"/>
      <c r="DC18" s="65">
        <f t="shared" si="54"/>
        <v>46661</v>
      </c>
      <c r="DD18" s="66">
        <f t="shared" si="55"/>
        <v>46722</v>
      </c>
      <c r="DE18" s="64">
        <v>2</v>
      </c>
      <c r="DF18" s="57"/>
      <c r="DG18" s="65">
        <f t="shared" si="56"/>
        <v>46722</v>
      </c>
      <c r="DH18" s="66">
        <f t="shared" si="57"/>
        <v>46935</v>
      </c>
      <c r="DI18" s="64">
        <v>7</v>
      </c>
      <c r="DJ18">
        <f t="shared" si="58"/>
        <v>23</v>
      </c>
    </row>
    <row r="19" spans="2:114" x14ac:dyDescent="0.3">
      <c r="B19" s="42" t="s">
        <v>65</v>
      </c>
      <c r="C19" s="42" t="s">
        <v>69</v>
      </c>
      <c r="D19" s="44" t="s">
        <v>53</v>
      </c>
      <c r="F19" s="45">
        <f t="shared" si="7"/>
        <v>45626</v>
      </c>
      <c r="G19" s="46">
        <f t="shared" si="8"/>
        <v>45747</v>
      </c>
      <c r="H19" s="47">
        <v>4</v>
      </c>
      <c r="J19" s="45">
        <f t="shared" si="9"/>
        <v>46295</v>
      </c>
      <c r="K19" s="46">
        <f t="shared" si="59"/>
        <v>46842</v>
      </c>
      <c r="L19" s="47">
        <f t="shared" si="1"/>
        <v>18</v>
      </c>
      <c r="N19" s="45">
        <f t="shared" si="10"/>
        <v>46843</v>
      </c>
      <c r="O19" s="46">
        <f t="shared" si="60"/>
        <v>46843</v>
      </c>
      <c r="P19" s="48">
        <f t="shared" si="3"/>
        <v>0</v>
      </c>
      <c r="Q19" s="49">
        <f t="shared" si="11"/>
        <v>46844</v>
      </c>
      <c r="S19" s="50">
        <f t="shared" si="12"/>
        <v>46182</v>
      </c>
      <c r="T19" s="51">
        <f t="shared" si="13"/>
        <v>46231</v>
      </c>
      <c r="U19" s="47">
        <v>35</v>
      </c>
      <c r="W19" s="45">
        <f t="shared" si="14"/>
        <v>46232</v>
      </c>
      <c r="X19" s="46">
        <f t="shared" si="15"/>
        <v>46316</v>
      </c>
      <c r="Y19" s="47">
        <v>60</v>
      </c>
      <c r="AA19" s="45">
        <f t="shared" si="16"/>
        <v>46317</v>
      </c>
      <c r="AB19" s="46">
        <f t="shared" si="17"/>
        <v>46401</v>
      </c>
      <c r="AC19" s="47">
        <v>60</v>
      </c>
      <c r="AE19" s="45">
        <f t="shared" si="18"/>
        <v>46453</v>
      </c>
      <c r="AF19" s="46">
        <f t="shared" si="19"/>
        <v>46484</v>
      </c>
      <c r="AG19" s="47">
        <v>1</v>
      </c>
      <c r="AI19" s="45">
        <f t="shared" si="20"/>
        <v>46295</v>
      </c>
      <c r="AJ19" s="46">
        <f t="shared" si="21"/>
        <v>46330</v>
      </c>
      <c r="AK19" s="47">
        <v>25</v>
      </c>
      <c r="AM19" s="45">
        <f t="shared" si="22"/>
        <v>46331</v>
      </c>
      <c r="AN19" s="46">
        <f t="shared" si="23"/>
        <v>46415</v>
      </c>
      <c r="AO19" s="47">
        <v>60</v>
      </c>
      <c r="AQ19" s="45">
        <f t="shared" si="24"/>
        <v>46485</v>
      </c>
      <c r="AR19" s="46">
        <f t="shared" si="25"/>
        <v>46626</v>
      </c>
      <c r="AS19" s="52">
        <v>21</v>
      </c>
      <c r="AT19" s="53">
        <v>80</v>
      </c>
      <c r="AV19" s="45">
        <f t="shared" si="26"/>
        <v>46629</v>
      </c>
      <c r="AW19" s="46">
        <f t="shared" si="27"/>
        <v>46842</v>
      </c>
      <c r="AX19" s="47">
        <v>7</v>
      </c>
      <c r="AZ19" s="45">
        <f t="shared" si="28"/>
        <v>46331</v>
      </c>
      <c r="BA19" s="46">
        <f t="shared" si="29"/>
        <v>46373</v>
      </c>
      <c r="BB19" s="47">
        <v>30</v>
      </c>
      <c r="BD19" s="45">
        <f t="shared" si="30"/>
        <v>46374</v>
      </c>
      <c r="BE19" s="46">
        <f t="shared" si="31"/>
        <v>46591</v>
      </c>
      <c r="BF19" s="47">
        <v>155</v>
      </c>
      <c r="BH19" s="45">
        <f t="shared" si="32"/>
        <v>46563</v>
      </c>
      <c r="BI19" s="46">
        <f t="shared" si="33"/>
        <v>46689</v>
      </c>
      <c r="BJ19" s="47">
        <v>90</v>
      </c>
      <c r="BL19" s="45">
        <f t="shared" si="34"/>
        <v>46690</v>
      </c>
      <c r="BM19" s="46">
        <f t="shared" si="35"/>
        <v>46842</v>
      </c>
      <c r="BN19" s="47">
        <v>5</v>
      </c>
      <c r="BP19" s="45">
        <f t="shared" si="36"/>
        <v>46645</v>
      </c>
      <c r="BQ19" s="46">
        <f t="shared" si="37"/>
        <v>46750</v>
      </c>
      <c r="BR19" s="47">
        <v>75</v>
      </c>
      <c r="BT19" s="45">
        <f t="shared" si="38"/>
        <v>46751</v>
      </c>
      <c r="BU19" s="46">
        <f t="shared" si="39"/>
        <v>46842</v>
      </c>
      <c r="BV19" s="47">
        <v>3</v>
      </c>
      <c r="BX19" s="45">
        <f t="shared" si="40"/>
        <v>46843</v>
      </c>
      <c r="BY19" s="46">
        <f t="shared" si="4"/>
        <v>46843</v>
      </c>
      <c r="BZ19" s="48">
        <f t="shared" si="5"/>
        <v>0</v>
      </c>
      <c r="CB19" s="50">
        <f t="shared" si="41"/>
        <v>46182</v>
      </c>
      <c r="CC19" s="51">
        <f t="shared" si="42"/>
        <v>46294</v>
      </c>
      <c r="CD19" s="47">
        <v>80</v>
      </c>
      <c r="CF19" s="50">
        <f t="shared" si="43"/>
        <v>46295</v>
      </c>
      <c r="CG19" s="51">
        <f t="shared" si="44"/>
        <v>46842</v>
      </c>
      <c r="CH19" s="47">
        <f t="shared" si="6"/>
        <v>18</v>
      </c>
      <c r="CJ19" s="50">
        <f t="shared" si="45"/>
        <v>46843</v>
      </c>
      <c r="CK19" s="51">
        <f t="shared" si="46"/>
        <v>46843</v>
      </c>
      <c r="CL19" s="47">
        <f t="shared" si="47"/>
        <v>0</v>
      </c>
      <c r="CN19" s="54">
        <v>46844</v>
      </c>
      <c r="CO19" s="55">
        <v>46844</v>
      </c>
      <c r="CQ19" s="50">
        <f t="shared" si="48"/>
        <v>46661</v>
      </c>
      <c r="CR19" s="51">
        <f t="shared" si="49"/>
        <v>46722</v>
      </c>
      <c r="CS19" s="48">
        <v>2</v>
      </c>
      <c r="CT19" s="56"/>
      <c r="CU19" s="50">
        <f t="shared" si="50"/>
        <v>46722</v>
      </c>
      <c r="CV19" s="51">
        <f t="shared" si="51"/>
        <v>46784</v>
      </c>
      <c r="CW19" s="48">
        <v>2</v>
      </c>
      <c r="CX19" s="56"/>
      <c r="CY19" s="50">
        <f t="shared" si="52"/>
        <v>46784</v>
      </c>
      <c r="CZ19" s="51">
        <f t="shared" si="53"/>
        <v>46844</v>
      </c>
      <c r="DA19" s="48">
        <v>2</v>
      </c>
      <c r="DB19" s="56"/>
      <c r="DC19" s="50">
        <f t="shared" si="54"/>
        <v>46844</v>
      </c>
      <c r="DD19" s="51">
        <f t="shared" si="55"/>
        <v>46905</v>
      </c>
      <c r="DE19" s="48">
        <v>2</v>
      </c>
      <c r="DF19" s="57"/>
      <c r="DG19" s="50">
        <f t="shared" si="56"/>
        <v>46905</v>
      </c>
      <c r="DH19" s="51">
        <f t="shared" si="57"/>
        <v>47119</v>
      </c>
      <c r="DI19" s="48">
        <v>7</v>
      </c>
      <c r="DJ19">
        <f t="shared" si="58"/>
        <v>0</v>
      </c>
    </row>
    <row r="20" spans="2:114" x14ac:dyDescent="0.3">
      <c r="B20" s="58" t="s">
        <v>70</v>
      </c>
      <c r="C20" s="59" t="s">
        <v>71</v>
      </c>
      <c r="D20" s="60" t="s">
        <v>53</v>
      </c>
      <c r="F20" s="61">
        <f t="shared" si="7"/>
        <v>45137</v>
      </c>
      <c r="G20" s="62">
        <f t="shared" si="8"/>
        <v>45260</v>
      </c>
      <c r="H20" s="63">
        <v>4</v>
      </c>
      <c r="J20" s="61">
        <f t="shared" si="9"/>
        <v>45804</v>
      </c>
      <c r="K20" s="62">
        <f t="shared" si="59"/>
        <v>46353</v>
      </c>
      <c r="L20" s="63">
        <f t="shared" si="1"/>
        <v>18</v>
      </c>
      <c r="N20" s="61">
        <f t="shared" si="10"/>
        <v>46356</v>
      </c>
      <c r="O20" s="62">
        <f t="shared" si="60"/>
        <v>46356</v>
      </c>
      <c r="P20" s="64">
        <f t="shared" si="3"/>
        <v>0</v>
      </c>
      <c r="Q20" s="49">
        <f t="shared" si="11"/>
        <v>46357</v>
      </c>
      <c r="S20" s="65">
        <f t="shared" si="12"/>
        <v>45723</v>
      </c>
      <c r="T20" s="66">
        <f t="shared" si="13"/>
        <v>45772</v>
      </c>
      <c r="U20" s="63">
        <v>35</v>
      </c>
      <c r="W20" s="61">
        <f t="shared" si="14"/>
        <v>45775</v>
      </c>
      <c r="X20" s="62">
        <f t="shared" si="15"/>
        <v>45859</v>
      </c>
      <c r="Y20" s="63">
        <v>60</v>
      </c>
      <c r="AA20" s="61">
        <f t="shared" si="16"/>
        <v>45860</v>
      </c>
      <c r="AB20" s="62">
        <f t="shared" si="17"/>
        <v>45944</v>
      </c>
      <c r="AC20" s="63">
        <v>60</v>
      </c>
      <c r="AE20" s="61">
        <f t="shared" si="18"/>
        <v>45998</v>
      </c>
      <c r="AF20" s="62">
        <f t="shared" si="19"/>
        <v>46029</v>
      </c>
      <c r="AG20" s="63">
        <v>1</v>
      </c>
      <c r="AI20" s="61">
        <f t="shared" si="20"/>
        <v>45838</v>
      </c>
      <c r="AJ20" s="62">
        <f t="shared" si="21"/>
        <v>45873</v>
      </c>
      <c r="AK20" s="63">
        <v>25</v>
      </c>
      <c r="AM20" s="61">
        <f t="shared" si="22"/>
        <v>45874</v>
      </c>
      <c r="AN20" s="62">
        <f t="shared" si="23"/>
        <v>45958</v>
      </c>
      <c r="AO20" s="63">
        <v>60</v>
      </c>
      <c r="AQ20" s="61">
        <f t="shared" si="24"/>
        <v>46030</v>
      </c>
      <c r="AR20" s="62">
        <f t="shared" si="25"/>
        <v>46171</v>
      </c>
      <c r="AS20" s="67">
        <v>21</v>
      </c>
      <c r="AT20" s="68">
        <v>80</v>
      </c>
      <c r="AV20" s="61">
        <f t="shared" si="26"/>
        <v>46172</v>
      </c>
      <c r="AW20" s="62">
        <f t="shared" si="27"/>
        <v>46386</v>
      </c>
      <c r="AX20" s="63">
        <v>7</v>
      </c>
      <c r="AZ20" s="61">
        <f t="shared" si="28"/>
        <v>45874</v>
      </c>
      <c r="BA20" s="62">
        <f t="shared" si="29"/>
        <v>45916</v>
      </c>
      <c r="BB20" s="63">
        <v>30</v>
      </c>
      <c r="BD20" s="61">
        <f t="shared" si="30"/>
        <v>45917</v>
      </c>
      <c r="BE20" s="62">
        <f t="shared" si="31"/>
        <v>46134</v>
      </c>
      <c r="BF20" s="63">
        <v>155</v>
      </c>
      <c r="BH20" s="61">
        <f t="shared" si="32"/>
        <v>46106</v>
      </c>
      <c r="BI20" s="62">
        <f t="shared" si="33"/>
        <v>46232</v>
      </c>
      <c r="BJ20" s="63">
        <v>90</v>
      </c>
      <c r="BL20" s="61">
        <f t="shared" si="34"/>
        <v>46233</v>
      </c>
      <c r="BM20" s="62">
        <f t="shared" si="35"/>
        <v>46386</v>
      </c>
      <c r="BN20" s="63">
        <v>5</v>
      </c>
      <c r="BP20" s="61">
        <f t="shared" si="36"/>
        <v>46189</v>
      </c>
      <c r="BQ20" s="62">
        <f t="shared" si="37"/>
        <v>46294</v>
      </c>
      <c r="BR20" s="63">
        <v>75</v>
      </c>
      <c r="BT20" s="61">
        <f t="shared" si="38"/>
        <v>46295</v>
      </c>
      <c r="BU20" s="62">
        <f t="shared" si="39"/>
        <v>46386</v>
      </c>
      <c r="BV20" s="63">
        <v>3</v>
      </c>
      <c r="BX20" s="61">
        <f t="shared" si="40"/>
        <v>46387</v>
      </c>
      <c r="BY20" s="62">
        <f t="shared" si="4"/>
        <v>46387</v>
      </c>
      <c r="BZ20" s="64">
        <f t="shared" si="5"/>
        <v>0</v>
      </c>
      <c r="CB20" s="65">
        <f t="shared" si="41"/>
        <v>45723</v>
      </c>
      <c r="CC20" s="66">
        <f t="shared" si="42"/>
        <v>45835</v>
      </c>
      <c r="CD20" s="63">
        <v>80</v>
      </c>
      <c r="CF20" s="65">
        <f t="shared" si="43"/>
        <v>45838</v>
      </c>
      <c r="CG20" s="66">
        <f t="shared" si="44"/>
        <v>46386</v>
      </c>
      <c r="CH20" s="63">
        <f t="shared" si="6"/>
        <v>18</v>
      </c>
      <c r="CJ20" s="65">
        <f t="shared" si="45"/>
        <v>46387</v>
      </c>
      <c r="CK20" s="66">
        <f t="shared" si="46"/>
        <v>46387</v>
      </c>
      <c r="CL20" s="63">
        <f t="shared" si="47"/>
        <v>0</v>
      </c>
      <c r="CN20" s="54">
        <v>46388</v>
      </c>
      <c r="CO20" s="55">
        <v>46357</v>
      </c>
      <c r="CQ20" s="65">
        <f t="shared" si="48"/>
        <v>46174</v>
      </c>
      <c r="CR20" s="66">
        <f t="shared" si="49"/>
        <v>46235</v>
      </c>
      <c r="CS20" s="64">
        <v>2</v>
      </c>
      <c r="CT20" s="56"/>
      <c r="CU20" s="65">
        <f t="shared" si="50"/>
        <v>46235</v>
      </c>
      <c r="CV20" s="66">
        <f t="shared" si="51"/>
        <v>46296</v>
      </c>
      <c r="CW20" s="64">
        <v>2</v>
      </c>
      <c r="CX20" s="56"/>
      <c r="CY20" s="65">
        <f t="shared" si="52"/>
        <v>46296</v>
      </c>
      <c r="CZ20" s="66">
        <f t="shared" si="53"/>
        <v>46357</v>
      </c>
      <c r="DA20" s="64">
        <v>2</v>
      </c>
      <c r="DB20" s="56"/>
      <c r="DC20" s="65">
        <f t="shared" si="54"/>
        <v>46357</v>
      </c>
      <c r="DD20" s="66">
        <f t="shared" si="55"/>
        <v>46419</v>
      </c>
      <c r="DE20" s="64">
        <v>2</v>
      </c>
      <c r="DF20" s="57"/>
      <c r="DG20" s="65">
        <f t="shared" si="56"/>
        <v>46419</v>
      </c>
      <c r="DH20" s="66">
        <f t="shared" si="57"/>
        <v>46631</v>
      </c>
      <c r="DI20" s="64">
        <v>7</v>
      </c>
      <c r="DJ20">
        <f t="shared" si="58"/>
        <v>-24</v>
      </c>
    </row>
    <row r="21" spans="2:114" x14ac:dyDescent="0.3">
      <c r="B21" s="42" t="s">
        <v>72</v>
      </c>
      <c r="C21" s="43" t="s">
        <v>73</v>
      </c>
      <c r="D21" s="44" t="s">
        <v>53</v>
      </c>
      <c r="F21" s="45">
        <f t="shared" si="7"/>
        <v>44681</v>
      </c>
      <c r="G21" s="46">
        <f t="shared" si="8"/>
        <v>44804</v>
      </c>
      <c r="H21" s="47">
        <v>4</v>
      </c>
      <c r="J21" s="45">
        <f t="shared" si="9"/>
        <v>45350</v>
      </c>
      <c r="K21" s="46">
        <f>WORKDAY(N21,-1)</f>
        <v>45897</v>
      </c>
      <c r="L21" s="47">
        <f t="shared" si="1"/>
        <v>18</v>
      </c>
      <c r="N21" s="45">
        <f t="shared" si="10"/>
        <v>45898</v>
      </c>
      <c r="O21" s="46">
        <f>WORKDAY(Q21,-1)</f>
        <v>45898</v>
      </c>
      <c r="P21" s="48">
        <f t="shared" si="3"/>
        <v>0</v>
      </c>
      <c r="Q21" s="49">
        <f t="shared" si="11"/>
        <v>45901</v>
      </c>
      <c r="S21" s="50">
        <f t="shared" si="12"/>
        <v>45359</v>
      </c>
      <c r="T21" s="51">
        <f t="shared" si="13"/>
        <v>45408</v>
      </c>
      <c r="U21" s="47">
        <v>35</v>
      </c>
      <c r="W21" s="45">
        <f t="shared" si="14"/>
        <v>45411</v>
      </c>
      <c r="X21" s="46">
        <f t="shared" si="15"/>
        <v>45495</v>
      </c>
      <c r="Y21" s="47">
        <v>60</v>
      </c>
      <c r="AA21" s="45">
        <f t="shared" si="16"/>
        <v>45496</v>
      </c>
      <c r="AB21" s="46">
        <f t="shared" si="17"/>
        <v>45580</v>
      </c>
      <c r="AC21" s="47">
        <v>60</v>
      </c>
      <c r="AE21" s="45">
        <f t="shared" si="18"/>
        <v>45633</v>
      </c>
      <c r="AF21" s="46">
        <f t="shared" si="19"/>
        <v>45664</v>
      </c>
      <c r="AG21" s="47">
        <v>1</v>
      </c>
      <c r="AI21" s="45">
        <f t="shared" si="20"/>
        <v>45474</v>
      </c>
      <c r="AJ21" s="46">
        <f t="shared" si="21"/>
        <v>45509</v>
      </c>
      <c r="AK21" s="47">
        <v>25</v>
      </c>
      <c r="AM21" s="45">
        <f t="shared" si="22"/>
        <v>45510</v>
      </c>
      <c r="AN21" s="46">
        <f t="shared" si="23"/>
        <v>45594</v>
      </c>
      <c r="AO21" s="47">
        <v>60</v>
      </c>
      <c r="AQ21" s="45">
        <f t="shared" si="24"/>
        <v>45665</v>
      </c>
      <c r="AR21" s="46">
        <f t="shared" si="25"/>
        <v>45806</v>
      </c>
      <c r="AS21" s="52">
        <v>21</v>
      </c>
      <c r="AT21" s="53">
        <v>80</v>
      </c>
      <c r="AV21" s="45">
        <f t="shared" si="26"/>
        <v>45807</v>
      </c>
      <c r="AW21" s="46">
        <f t="shared" si="27"/>
        <v>46021</v>
      </c>
      <c r="AX21" s="47">
        <v>7</v>
      </c>
      <c r="AZ21" s="45">
        <f t="shared" si="28"/>
        <v>45510</v>
      </c>
      <c r="BA21" s="46">
        <f t="shared" si="29"/>
        <v>45552</v>
      </c>
      <c r="BB21" s="47">
        <v>30</v>
      </c>
      <c r="BD21" s="45">
        <f t="shared" si="30"/>
        <v>45553</v>
      </c>
      <c r="BE21" s="46">
        <f t="shared" si="31"/>
        <v>45770</v>
      </c>
      <c r="BF21" s="47">
        <v>155</v>
      </c>
      <c r="BH21" s="45">
        <f t="shared" si="32"/>
        <v>45741</v>
      </c>
      <c r="BI21" s="46">
        <f t="shared" si="33"/>
        <v>45867</v>
      </c>
      <c r="BJ21" s="47">
        <v>90</v>
      </c>
      <c r="BL21" s="45">
        <f t="shared" si="34"/>
        <v>45868</v>
      </c>
      <c r="BM21" s="46">
        <f t="shared" si="35"/>
        <v>46021</v>
      </c>
      <c r="BN21" s="47">
        <v>5</v>
      </c>
      <c r="BP21" s="45">
        <f t="shared" si="36"/>
        <v>45824</v>
      </c>
      <c r="BQ21" s="46">
        <f t="shared" si="37"/>
        <v>45929</v>
      </c>
      <c r="BR21" s="47">
        <v>75</v>
      </c>
      <c r="BT21" s="45">
        <f t="shared" si="38"/>
        <v>45930</v>
      </c>
      <c r="BU21" s="46">
        <f t="shared" si="39"/>
        <v>46021</v>
      </c>
      <c r="BV21" s="47">
        <v>3</v>
      </c>
      <c r="BX21" s="45">
        <f t="shared" si="40"/>
        <v>46022</v>
      </c>
      <c r="BY21" s="46">
        <f t="shared" si="4"/>
        <v>46022</v>
      </c>
      <c r="BZ21" s="48">
        <f t="shared" si="5"/>
        <v>0</v>
      </c>
      <c r="CB21" s="50">
        <f t="shared" si="41"/>
        <v>45359</v>
      </c>
      <c r="CC21" s="51">
        <f t="shared" si="42"/>
        <v>45471</v>
      </c>
      <c r="CD21" s="47">
        <v>80</v>
      </c>
      <c r="CF21" s="50">
        <f t="shared" si="43"/>
        <v>45473</v>
      </c>
      <c r="CG21" s="51">
        <f t="shared" si="44"/>
        <v>46021</v>
      </c>
      <c r="CH21" s="47">
        <f t="shared" si="6"/>
        <v>18</v>
      </c>
      <c r="CJ21" s="50">
        <f t="shared" si="45"/>
        <v>46022</v>
      </c>
      <c r="CK21" s="51">
        <f t="shared" si="46"/>
        <v>46022</v>
      </c>
      <c r="CL21" s="47">
        <f t="shared" si="47"/>
        <v>0</v>
      </c>
      <c r="CN21" s="54">
        <v>46023</v>
      </c>
      <c r="CO21" s="55">
        <v>45901</v>
      </c>
      <c r="CQ21" s="50">
        <f t="shared" si="48"/>
        <v>45717</v>
      </c>
      <c r="CR21" s="51">
        <f t="shared" si="49"/>
        <v>45778</v>
      </c>
      <c r="CS21" s="48">
        <v>2</v>
      </c>
      <c r="CT21" s="56"/>
      <c r="CU21" s="50">
        <f t="shared" si="50"/>
        <v>45778</v>
      </c>
      <c r="CV21" s="51">
        <f t="shared" si="51"/>
        <v>45839</v>
      </c>
      <c r="CW21" s="48">
        <v>2</v>
      </c>
      <c r="CX21" s="56"/>
      <c r="CY21" s="50">
        <f t="shared" si="52"/>
        <v>45839</v>
      </c>
      <c r="CZ21" s="51">
        <f t="shared" si="53"/>
        <v>45901</v>
      </c>
      <c r="DA21" s="48">
        <v>2</v>
      </c>
      <c r="DB21" s="56"/>
      <c r="DC21" s="50">
        <f t="shared" si="54"/>
        <v>45901</v>
      </c>
      <c r="DD21" s="51">
        <f t="shared" si="55"/>
        <v>45962</v>
      </c>
      <c r="DE21" s="48">
        <v>2</v>
      </c>
      <c r="DF21" s="57"/>
      <c r="DG21" s="50">
        <f t="shared" si="56"/>
        <v>45962</v>
      </c>
      <c r="DH21" s="51">
        <f t="shared" si="57"/>
        <v>46174</v>
      </c>
      <c r="DI21" s="48">
        <v>7</v>
      </c>
      <c r="DJ21">
        <f t="shared" si="58"/>
        <v>-89</v>
      </c>
    </row>
    <row r="22" spans="2:114" x14ac:dyDescent="0.3">
      <c r="B22" s="58" t="s">
        <v>72</v>
      </c>
      <c r="C22" s="59" t="s">
        <v>74</v>
      </c>
      <c r="D22" s="60" t="s">
        <v>53</v>
      </c>
      <c r="F22" s="61">
        <f t="shared" si="7"/>
        <v>45228</v>
      </c>
      <c r="G22" s="62">
        <f t="shared" si="8"/>
        <v>45351</v>
      </c>
      <c r="H22" s="63">
        <v>4</v>
      </c>
      <c r="J22" s="61">
        <f t="shared" si="9"/>
        <v>45894</v>
      </c>
      <c r="K22" s="62">
        <f>WORKDAY(N22,-1)</f>
        <v>46443</v>
      </c>
      <c r="L22" s="63">
        <f t="shared" si="1"/>
        <v>18</v>
      </c>
      <c r="N22" s="61">
        <f t="shared" si="10"/>
        <v>46444</v>
      </c>
      <c r="O22" s="62">
        <f>WORKDAY(Q22,-1)</f>
        <v>46444</v>
      </c>
      <c r="P22" s="64">
        <f t="shared" si="3"/>
        <v>0</v>
      </c>
      <c r="Q22" s="49">
        <f t="shared" si="11"/>
        <v>46447</v>
      </c>
      <c r="S22" s="65">
        <f t="shared" si="12"/>
        <v>45751</v>
      </c>
      <c r="T22" s="66">
        <f t="shared" si="13"/>
        <v>45800</v>
      </c>
      <c r="U22" s="63">
        <v>35</v>
      </c>
      <c r="W22" s="61">
        <f t="shared" si="14"/>
        <v>45803</v>
      </c>
      <c r="X22" s="62">
        <f t="shared" si="15"/>
        <v>45887</v>
      </c>
      <c r="Y22" s="63">
        <v>60</v>
      </c>
      <c r="AA22" s="61">
        <f t="shared" si="16"/>
        <v>45888</v>
      </c>
      <c r="AB22" s="62">
        <f t="shared" si="17"/>
        <v>45972</v>
      </c>
      <c r="AC22" s="63">
        <v>60</v>
      </c>
      <c r="AE22" s="61">
        <f t="shared" si="18"/>
        <v>46026</v>
      </c>
      <c r="AF22" s="62">
        <f t="shared" si="19"/>
        <v>46057</v>
      </c>
      <c r="AG22" s="63">
        <v>1</v>
      </c>
      <c r="AI22" s="61">
        <f t="shared" si="20"/>
        <v>45866</v>
      </c>
      <c r="AJ22" s="62">
        <f t="shared" si="21"/>
        <v>45901</v>
      </c>
      <c r="AK22" s="63">
        <v>25</v>
      </c>
      <c r="AM22" s="61">
        <f t="shared" si="22"/>
        <v>45902</v>
      </c>
      <c r="AN22" s="62">
        <f t="shared" si="23"/>
        <v>45986</v>
      </c>
      <c r="AO22" s="63">
        <v>60</v>
      </c>
      <c r="AQ22" s="61">
        <f t="shared" si="24"/>
        <v>46058</v>
      </c>
      <c r="AR22" s="62">
        <f t="shared" si="25"/>
        <v>46199</v>
      </c>
      <c r="AS22" s="67">
        <v>21</v>
      </c>
      <c r="AT22" s="68">
        <v>80</v>
      </c>
      <c r="AV22" s="61">
        <f t="shared" si="26"/>
        <v>46201</v>
      </c>
      <c r="AW22" s="62">
        <f t="shared" si="27"/>
        <v>46415</v>
      </c>
      <c r="AX22" s="63">
        <v>7</v>
      </c>
      <c r="AZ22" s="61">
        <f t="shared" si="28"/>
        <v>45902</v>
      </c>
      <c r="BA22" s="62">
        <f t="shared" si="29"/>
        <v>45944</v>
      </c>
      <c r="BB22" s="63">
        <v>30</v>
      </c>
      <c r="BD22" s="61">
        <f t="shared" si="30"/>
        <v>45945</v>
      </c>
      <c r="BE22" s="62">
        <f t="shared" si="31"/>
        <v>46162</v>
      </c>
      <c r="BF22" s="63">
        <v>155</v>
      </c>
      <c r="BH22" s="61">
        <f t="shared" si="32"/>
        <v>46135</v>
      </c>
      <c r="BI22" s="62">
        <f t="shared" si="33"/>
        <v>46261</v>
      </c>
      <c r="BJ22" s="63">
        <v>90</v>
      </c>
      <c r="BL22" s="61">
        <f t="shared" si="34"/>
        <v>46262</v>
      </c>
      <c r="BM22" s="62">
        <f t="shared" si="35"/>
        <v>46415</v>
      </c>
      <c r="BN22" s="63">
        <v>5</v>
      </c>
      <c r="BP22" s="61">
        <f t="shared" si="36"/>
        <v>46217</v>
      </c>
      <c r="BQ22" s="62">
        <f t="shared" si="37"/>
        <v>46322</v>
      </c>
      <c r="BR22" s="63">
        <v>75</v>
      </c>
      <c r="BT22" s="61">
        <f t="shared" si="38"/>
        <v>46323</v>
      </c>
      <c r="BU22" s="62">
        <f t="shared" si="39"/>
        <v>46415</v>
      </c>
      <c r="BV22" s="63">
        <v>3</v>
      </c>
      <c r="BX22" s="61">
        <f t="shared" si="40"/>
        <v>46416</v>
      </c>
      <c r="BY22" s="62">
        <f t="shared" si="4"/>
        <v>46416</v>
      </c>
      <c r="BZ22" s="64">
        <f t="shared" si="5"/>
        <v>0</v>
      </c>
      <c r="CB22" s="65">
        <f t="shared" si="41"/>
        <v>45751</v>
      </c>
      <c r="CC22" s="66">
        <f t="shared" si="42"/>
        <v>45863</v>
      </c>
      <c r="CD22" s="63">
        <v>80</v>
      </c>
      <c r="CF22" s="65">
        <f t="shared" si="43"/>
        <v>45866</v>
      </c>
      <c r="CG22" s="66">
        <f t="shared" si="44"/>
        <v>46415</v>
      </c>
      <c r="CH22" s="63">
        <f t="shared" si="6"/>
        <v>18</v>
      </c>
      <c r="CJ22" s="65">
        <f t="shared" si="45"/>
        <v>46416</v>
      </c>
      <c r="CK22" s="66">
        <f t="shared" si="46"/>
        <v>46416</v>
      </c>
      <c r="CL22" s="63">
        <f t="shared" si="47"/>
        <v>0</v>
      </c>
      <c r="CN22" s="54">
        <v>46417</v>
      </c>
      <c r="CO22" s="55">
        <v>46447</v>
      </c>
      <c r="CQ22" s="65">
        <f t="shared" si="48"/>
        <v>46266</v>
      </c>
      <c r="CR22" s="66">
        <f t="shared" si="49"/>
        <v>46327</v>
      </c>
      <c r="CS22" s="64">
        <v>2</v>
      </c>
      <c r="CT22" s="56"/>
      <c r="CU22" s="65">
        <f t="shared" si="50"/>
        <v>46327</v>
      </c>
      <c r="CV22" s="66">
        <f t="shared" si="51"/>
        <v>46388</v>
      </c>
      <c r="CW22" s="64">
        <v>2</v>
      </c>
      <c r="CX22" s="56"/>
      <c r="CY22" s="65">
        <f t="shared" si="52"/>
        <v>46388</v>
      </c>
      <c r="CZ22" s="66">
        <f t="shared" si="53"/>
        <v>46447</v>
      </c>
      <c r="DA22" s="64">
        <v>2</v>
      </c>
      <c r="DB22" s="56"/>
      <c r="DC22" s="65">
        <f t="shared" si="54"/>
        <v>46447</v>
      </c>
      <c r="DD22" s="66">
        <f t="shared" si="55"/>
        <v>46508</v>
      </c>
      <c r="DE22" s="64">
        <v>2</v>
      </c>
      <c r="DF22" s="57"/>
      <c r="DG22" s="65">
        <f t="shared" si="56"/>
        <v>46508</v>
      </c>
      <c r="DH22" s="66">
        <f t="shared" si="57"/>
        <v>46722</v>
      </c>
      <c r="DI22" s="64">
        <v>7</v>
      </c>
      <c r="DJ22">
        <f t="shared" si="58"/>
        <v>21</v>
      </c>
    </row>
    <row r="23" spans="2:114" x14ac:dyDescent="0.3">
      <c r="B23" s="42" t="s">
        <v>75</v>
      </c>
      <c r="C23" s="43" t="s">
        <v>76</v>
      </c>
      <c r="D23" s="44" t="s">
        <v>53</v>
      </c>
      <c r="F23" s="45">
        <f t="shared" si="7"/>
        <v>44681</v>
      </c>
      <c r="G23" s="46">
        <f t="shared" si="8"/>
        <v>44804</v>
      </c>
      <c r="H23" s="47">
        <v>4</v>
      </c>
      <c r="J23" s="45">
        <f t="shared" si="9"/>
        <v>45350</v>
      </c>
      <c r="K23" s="46">
        <f t="shared" si="59"/>
        <v>45897</v>
      </c>
      <c r="L23" s="47">
        <f t="shared" si="1"/>
        <v>18</v>
      </c>
      <c r="N23" s="45">
        <f t="shared" si="10"/>
        <v>45898</v>
      </c>
      <c r="O23" s="46">
        <f t="shared" si="60"/>
        <v>45898</v>
      </c>
      <c r="P23" s="48">
        <f t="shared" si="3"/>
        <v>0</v>
      </c>
      <c r="Q23" s="49">
        <f t="shared" si="11"/>
        <v>45901</v>
      </c>
      <c r="S23" s="50">
        <f t="shared" si="12"/>
        <v>45359</v>
      </c>
      <c r="T23" s="51">
        <f t="shared" si="13"/>
        <v>45408</v>
      </c>
      <c r="U23" s="47">
        <v>35</v>
      </c>
      <c r="W23" s="45">
        <f t="shared" si="14"/>
        <v>45411</v>
      </c>
      <c r="X23" s="46">
        <f t="shared" si="15"/>
        <v>45495</v>
      </c>
      <c r="Y23" s="47">
        <v>60</v>
      </c>
      <c r="AA23" s="45">
        <f t="shared" si="16"/>
        <v>45496</v>
      </c>
      <c r="AB23" s="46">
        <f t="shared" si="17"/>
        <v>45580</v>
      </c>
      <c r="AC23" s="47">
        <v>60</v>
      </c>
      <c r="AE23" s="45">
        <f t="shared" si="18"/>
        <v>45633</v>
      </c>
      <c r="AF23" s="46">
        <f t="shared" si="19"/>
        <v>45664</v>
      </c>
      <c r="AG23" s="47">
        <v>1</v>
      </c>
      <c r="AI23" s="45">
        <f t="shared" si="20"/>
        <v>45474</v>
      </c>
      <c r="AJ23" s="46">
        <f t="shared" si="21"/>
        <v>45509</v>
      </c>
      <c r="AK23" s="47">
        <v>25</v>
      </c>
      <c r="AM23" s="45">
        <f t="shared" si="22"/>
        <v>45510</v>
      </c>
      <c r="AN23" s="46">
        <f t="shared" si="23"/>
        <v>45594</v>
      </c>
      <c r="AO23" s="47">
        <v>60</v>
      </c>
      <c r="AQ23" s="45">
        <f t="shared" si="24"/>
        <v>45665</v>
      </c>
      <c r="AR23" s="46">
        <f t="shared" si="25"/>
        <v>45806</v>
      </c>
      <c r="AS23" s="52">
        <v>21</v>
      </c>
      <c r="AT23" s="53">
        <v>80</v>
      </c>
      <c r="AV23" s="45">
        <f t="shared" si="26"/>
        <v>45807</v>
      </c>
      <c r="AW23" s="46">
        <f t="shared" si="27"/>
        <v>46021</v>
      </c>
      <c r="AX23" s="47">
        <v>7</v>
      </c>
      <c r="AZ23" s="45">
        <f t="shared" si="28"/>
        <v>45510</v>
      </c>
      <c r="BA23" s="46">
        <f t="shared" si="29"/>
        <v>45552</v>
      </c>
      <c r="BB23" s="47">
        <v>30</v>
      </c>
      <c r="BD23" s="45">
        <f t="shared" si="30"/>
        <v>45553</v>
      </c>
      <c r="BE23" s="46">
        <f t="shared" si="31"/>
        <v>45770</v>
      </c>
      <c r="BF23" s="47">
        <v>155</v>
      </c>
      <c r="BH23" s="45">
        <f t="shared" si="32"/>
        <v>45741</v>
      </c>
      <c r="BI23" s="46">
        <f t="shared" si="33"/>
        <v>45867</v>
      </c>
      <c r="BJ23" s="47">
        <v>90</v>
      </c>
      <c r="BL23" s="45">
        <f t="shared" si="34"/>
        <v>45868</v>
      </c>
      <c r="BM23" s="46">
        <f t="shared" si="35"/>
        <v>46021</v>
      </c>
      <c r="BN23" s="47">
        <v>5</v>
      </c>
      <c r="BP23" s="45">
        <f t="shared" si="36"/>
        <v>45824</v>
      </c>
      <c r="BQ23" s="46">
        <f t="shared" si="37"/>
        <v>45929</v>
      </c>
      <c r="BR23" s="47">
        <v>75</v>
      </c>
      <c r="BT23" s="45">
        <f t="shared" si="38"/>
        <v>45930</v>
      </c>
      <c r="BU23" s="46">
        <f t="shared" si="39"/>
        <v>46021</v>
      </c>
      <c r="BV23" s="47">
        <v>3</v>
      </c>
      <c r="BX23" s="45">
        <f t="shared" si="40"/>
        <v>46022</v>
      </c>
      <c r="BY23" s="46">
        <f t="shared" si="4"/>
        <v>46022</v>
      </c>
      <c r="BZ23" s="48">
        <f t="shared" si="5"/>
        <v>0</v>
      </c>
      <c r="CB23" s="50">
        <f t="shared" si="41"/>
        <v>45359</v>
      </c>
      <c r="CC23" s="51">
        <f t="shared" si="42"/>
        <v>45471</v>
      </c>
      <c r="CD23" s="47">
        <v>80</v>
      </c>
      <c r="CF23" s="50">
        <f t="shared" si="43"/>
        <v>45473</v>
      </c>
      <c r="CG23" s="51">
        <f t="shared" si="44"/>
        <v>46021</v>
      </c>
      <c r="CH23" s="47">
        <f t="shared" si="6"/>
        <v>18</v>
      </c>
      <c r="CJ23" s="50">
        <f t="shared" si="45"/>
        <v>46022</v>
      </c>
      <c r="CK23" s="51">
        <f t="shared" si="46"/>
        <v>46022</v>
      </c>
      <c r="CL23" s="47">
        <f t="shared" si="47"/>
        <v>0</v>
      </c>
      <c r="CN23" s="54">
        <v>46023</v>
      </c>
      <c r="CO23" s="55">
        <v>45901</v>
      </c>
      <c r="CQ23" s="50">
        <f t="shared" si="48"/>
        <v>45717</v>
      </c>
      <c r="CR23" s="51">
        <f t="shared" si="49"/>
        <v>45778</v>
      </c>
      <c r="CS23" s="48">
        <v>2</v>
      </c>
      <c r="CT23" s="56"/>
      <c r="CU23" s="50">
        <f t="shared" si="50"/>
        <v>45778</v>
      </c>
      <c r="CV23" s="51">
        <f t="shared" si="51"/>
        <v>45839</v>
      </c>
      <c r="CW23" s="48">
        <v>2</v>
      </c>
      <c r="CX23" s="56"/>
      <c r="CY23" s="50">
        <f t="shared" si="52"/>
        <v>45839</v>
      </c>
      <c r="CZ23" s="51">
        <f t="shared" si="53"/>
        <v>45901</v>
      </c>
      <c r="DA23" s="48">
        <v>2</v>
      </c>
      <c r="DB23" s="56"/>
      <c r="DC23" s="50">
        <f t="shared" si="54"/>
        <v>45901</v>
      </c>
      <c r="DD23" s="51">
        <f t="shared" si="55"/>
        <v>45962</v>
      </c>
      <c r="DE23" s="48">
        <v>2</v>
      </c>
      <c r="DF23" s="57"/>
      <c r="DG23" s="50">
        <f t="shared" si="56"/>
        <v>45962</v>
      </c>
      <c r="DH23" s="51">
        <f t="shared" si="57"/>
        <v>46174</v>
      </c>
      <c r="DI23" s="48">
        <v>7</v>
      </c>
      <c r="DJ23">
        <f t="shared" si="58"/>
        <v>-89</v>
      </c>
    </row>
    <row r="24" spans="2:114" x14ac:dyDescent="0.3">
      <c r="B24" s="58" t="s">
        <v>75</v>
      </c>
      <c r="C24" s="59" t="s">
        <v>77</v>
      </c>
      <c r="D24" s="60" t="s">
        <v>53</v>
      </c>
      <c r="F24" s="61">
        <f t="shared" si="7"/>
        <v>45351</v>
      </c>
      <c r="G24" s="62">
        <f t="shared" si="8"/>
        <v>45473</v>
      </c>
      <c r="H24" s="63">
        <v>4</v>
      </c>
      <c r="J24" s="61">
        <f t="shared" si="9"/>
        <v>46020</v>
      </c>
      <c r="K24" s="62">
        <f t="shared" si="59"/>
        <v>46567</v>
      </c>
      <c r="L24" s="63">
        <f t="shared" si="1"/>
        <v>18</v>
      </c>
      <c r="N24" s="61">
        <f t="shared" si="10"/>
        <v>46568</v>
      </c>
      <c r="O24" s="62">
        <f t="shared" si="60"/>
        <v>46568</v>
      </c>
      <c r="P24" s="64">
        <f t="shared" si="3"/>
        <v>0</v>
      </c>
      <c r="Q24" s="49">
        <f t="shared" si="11"/>
        <v>46569</v>
      </c>
      <c r="S24" s="65">
        <f t="shared" si="12"/>
        <v>45876</v>
      </c>
      <c r="T24" s="66">
        <f t="shared" si="13"/>
        <v>45925</v>
      </c>
      <c r="U24" s="63">
        <v>35</v>
      </c>
      <c r="W24" s="61">
        <f t="shared" si="14"/>
        <v>45926</v>
      </c>
      <c r="X24" s="62">
        <f t="shared" si="15"/>
        <v>46010</v>
      </c>
      <c r="Y24" s="63">
        <v>60</v>
      </c>
      <c r="AA24" s="61">
        <f t="shared" si="16"/>
        <v>46013</v>
      </c>
      <c r="AB24" s="62">
        <f t="shared" si="17"/>
        <v>46097</v>
      </c>
      <c r="AC24" s="63">
        <v>60</v>
      </c>
      <c r="AE24" s="61">
        <f t="shared" si="18"/>
        <v>46147</v>
      </c>
      <c r="AF24" s="62">
        <f t="shared" si="19"/>
        <v>46178</v>
      </c>
      <c r="AG24" s="63">
        <v>1</v>
      </c>
      <c r="AI24" s="61">
        <f t="shared" si="20"/>
        <v>45989</v>
      </c>
      <c r="AJ24" s="62">
        <f t="shared" si="21"/>
        <v>46024</v>
      </c>
      <c r="AK24" s="63">
        <v>25</v>
      </c>
      <c r="AM24" s="61">
        <f t="shared" si="22"/>
        <v>46027</v>
      </c>
      <c r="AN24" s="62">
        <f t="shared" si="23"/>
        <v>46111</v>
      </c>
      <c r="AO24" s="63">
        <v>60</v>
      </c>
      <c r="AQ24" s="61">
        <f t="shared" si="24"/>
        <v>46181</v>
      </c>
      <c r="AR24" s="62">
        <f t="shared" si="25"/>
        <v>46322</v>
      </c>
      <c r="AS24" s="67">
        <v>21</v>
      </c>
      <c r="AT24" s="68">
        <v>80</v>
      </c>
      <c r="AV24" s="61">
        <f t="shared" si="26"/>
        <v>46323</v>
      </c>
      <c r="AW24" s="62">
        <f t="shared" si="27"/>
        <v>46535</v>
      </c>
      <c r="AX24" s="63">
        <v>7</v>
      </c>
      <c r="AZ24" s="61">
        <f t="shared" si="28"/>
        <v>46027</v>
      </c>
      <c r="BA24" s="62">
        <f t="shared" si="29"/>
        <v>46069</v>
      </c>
      <c r="BB24" s="63">
        <v>30</v>
      </c>
      <c r="BD24" s="61">
        <f t="shared" si="30"/>
        <v>46070</v>
      </c>
      <c r="BE24" s="62">
        <f t="shared" si="31"/>
        <v>46287</v>
      </c>
      <c r="BF24" s="63">
        <v>155</v>
      </c>
      <c r="BH24" s="61">
        <f t="shared" si="32"/>
        <v>46259</v>
      </c>
      <c r="BI24" s="62">
        <f t="shared" si="33"/>
        <v>46385</v>
      </c>
      <c r="BJ24" s="63">
        <v>90</v>
      </c>
      <c r="BL24" s="61">
        <f t="shared" si="34"/>
        <v>46386</v>
      </c>
      <c r="BM24" s="62">
        <f t="shared" si="35"/>
        <v>46537</v>
      </c>
      <c r="BN24" s="63">
        <v>5</v>
      </c>
      <c r="BP24" s="61">
        <f t="shared" si="36"/>
        <v>46339</v>
      </c>
      <c r="BQ24" s="62">
        <f t="shared" si="37"/>
        <v>46444</v>
      </c>
      <c r="BR24" s="63">
        <v>75</v>
      </c>
      <c r="BT24" s="61">
        <f t="shared" si="38"/>
        <v>46446</v>
      </c>
      <c r="BU24" s="62">
        <f t="shared" si="39"/>
        <v>46535</v>
      </c>
      <c r="BV24" s="63">
        <v>3</v>
      </c>
      <c r="BX24" s="61">
        <f t="shared" si="40"/>
        <v>46538</v>
      </c>
      <c r="BY24" s="62">
        <f t="shared" si="4"/>
        <v>46538</v>
      </c>
      <c r="BZ24" s="64">
        <f t="shared" si="5"/>
        <v>0</v>
      </c>
      <c r="CB24" s="65">
        <f t="shared" si="41"/>
        <v>45876</v>
      </c>
      <c r="CC24" s="66">
        <f t="shared" si="42"/>
        <v>45988</v>
      </c>
      <c r="CD24" s="63">
        <v>80</v>
      </c>
      <c r="CF24" s="65">
        <f t="shared" si="43"/>
        <v>45989</v>
      </c>
      <c r="CG24" s="66">
        <f t="shared" si="44"/>
        <v>46535</v>
      </c>
      <c r="CH24" s="63">
        <f t="shared" si="6"/>
        <v>18</v>
      </c>
      <c r="CJ24" s="65">
        <f t="shared" si="45"/>
        <v>46538</v>
      </c>
      <c r="CK24" s="66">
        <f t="shared" si="46"/>
        <v>46538</v>
      </c>
      <c r="CL24" s="63">
        <f t="shared" si="47"/>
        <v>0</v>
      </c>
      <c r="CN24" s="54">
        <v>46539</v>
      </c>
      <c r="CO24" s="55">
        <v>46569</v>
      </c>
      <c r="CQ24" s="65">
        <f t="shared" si="48"/>
        <v>46388</v>
      </c>
      <c r="CR24" s="66">
        <f t="shared" si="49"/>
        <v>46447</v>
      </c>
      <c r="CS24" s="64">
        <v>2</v>
      </c>
      <c r="CT24" s="56"/>
      <c r="CU24" s="65">
        <f t="shared" si="50"/>
        <v>46447</v>
      </c>
      <c r="CV24" s="66">
        <f t="shared" si="51"/>
        <v>46508</v>
      </c>
      <c r="CW24" s="64">
        <v>2</v>
      </c>
      <c r="CX24" s="56"/>
      <c r="CY24" s="65">
        <f t="shared" si="52"/>
        <v>46508</v>
      </c>
      <c r="CZ24" s="66">
        <f t="shared" si="53"/>
        <v>46569</v>
      </c>
      <c r="DA24" s="64">
        <v>2</v>
      </c>
      <c r="DB24" s="56"/>
      <c r="DC24" s="65">
        <f t="shared" si="54"/>
        <v>46569</v>
      </c>
      <c r="DD24" s="66">
        <f t="shared" si="55"/>
        <v>46631</v>
      </c>
      <c r="DE24" s="64">
        <v>2</v>
      </c>
      <c r="DF24" s="57"/>
      <c r="DG24" s="65">
        <f t="shared" si="56"/>
        <v>46631</v>
      </c>
      <c r="DH24" s="66">
        <f t="shared" si="57"/>
        <v>46844</v>
      </c>
      <c r="DI24" s="64">
        <v>7</v>
      </c>
      <c r="DJ24">
        <f t="shared" si="58"/>
        <v>23</v>
      </c>
    </row>
    <row r="25" spans="2:114" x14ac:dyDescent="0.3">
      <c r="B25" s="42" t="s">
        <v>75</v>
      </c>
      <c r="C25" s="42" t="s">
        <v>78</v>
      </c>
      <c r="D25" s="44" t="s">
        <v>53</v>
      </c>
      <c r="F25" s="45">
        <f t="shared" si="7"/>
        <v>45930</v>
      </c>
      <c r="G25" s="46">
        <f t="shared" si="8"/>
        <v>46053</v>
      </c>
      <c r="H25" s="47">
        <v>4</v>
      </c>
      <c r="J25" s="45">
        <f t="shared" si="9"/>
        <v>46598</v>
      </c>
      <c r="K25" s="46">
        <f t="shared" si="59"/>
        <v>47148</v>
      </c>
      <c r="L25" s="47">
        <f t="shared" si="1"/>
        <v>18</v>
      </c>
      <c r="N25" s="45">
        <f t="shared" si="10"/>
        <v>47149</v>
      </c>
      <c r="O25" s="46">
        <f t="shared" si="60"/>
        <v>47149</v>
      </c>
      <c r="P25" s="48">
        <f t="shared" si="3"/>
        <v>0</v>
      </c>
      <c r="Q25" s="49">
        <f t="shared" si="11"/>
        <v>47150</v>
      </c>
      <c r="S25" s="50">
        <f t="shared" si="12"/>
        <v>46454</v>
      </c>
      <c r="T25" s="51">
        <f t="shared" si="13"/>
        <v>46503</v>
      </c>
      <c r="U25" s="47">
        <v>35</v>
      </c>
      <c r="W25" s="45">
        <f t="shared" si="14"/>
        <v>46504</v>
      </c>
      <c r="X25" s="46">
        <f t="shared" si="15"/>
        <v>46588</v>
      </c>
      <c r="Y25" s="47">
        <v>60</v>
      </c>
      <c r="AA25" s="45">
        <f t="shared" si="16"/>
        <v>46589</v>
      </c>
      <c r="AB25" s="46">
        <f t="shared" si="17"/>
        <v>46673</v>
      </c>
      <c r="AC25" s="47">
        <v>60</v>
      </c>
      <c r="AE25" s="45">
        <f t="shared" si="18"/>
        <v>46726</v>
      </c>
      <c r="AF25" s="46">
        <f t="shared" si="19"/>
        <v>46757</v>
      </c>
      <c r="AG25" s="47">
        <v>1</v>
      </c>
      <c r="AI25" s="45">
        <f t="shared" si="20"/>
        <v>46567</v>
      </c>
      <c r="AJ25" s="46">
        <f t="shared" si="21"/>
        <v>46602</v>
      </c>
      <c r="AK25" s="47">
        <v>25</v>
      </c>
      <c r="AM25" s="45">
        <f t="shared" si="22"/>
        <v>46603</v>
      </c>
      <c r="AN25" s="46">
        <f t="shared" si="23"/>
        <v>46687</v>
      </c>
      <c r="AO25" s="47">
        <v>60</v>
      </c>
      <c r="AQ25" s="45">
        <f t="shared" si="24"/>
        <v>46758</v>
      </c>
      <c r="AR25" s="46">
        <f t="shared" si="25"/>
        <v>46899</v>
      </c>
      <c r="AS25" s="52">
        <v>21</v>
      </c>
      <c r="AT25" s="53">
        <v>80</v>
      </c>
      <c r="AV25" s="45">
        <f t="shared" si="26"/>
        <v>46902</v>
      </c>
      <c r="AW25" s="46">
        <f t="shared" si="27"/>
        <v>47116</v>
      </c>
      <c r="AX25" s="47">
        <v>7</v>
      </c>
      <c r="AZ25" s="45">
        <f t="shared" si="28"/>
        <v>46603</v>
      </c>
      <c r="BA25" s="46">
        <f t="shared" si="29"/>
        <v>46645</v>
      </c>
      <c r="BB25" s="47">
        <v>30</v>
      </c>
      <c r="BD25" s="45">
        <f t="shared" si="30"/>
        <v>46646</v>
      </c>
      <c r="BE25" s="46">
        <f t="shared" si="31"/>
        <v>46863</v>
      </c>
      <c r="BF25" s="47">
        <v>155</v>
      </c>
      <c r="BH25" s="45">
        <f t="shared" si="32"/>
        <v>46836</v>
      </c>
      <c r="BI25" s="46">
        <f t="shared" si="33"/>
        <v>46962</v>
      </c>
      <c r="BJ25" s="47">
        <v>90</v>
      </c>
      <c r="BL25" s="45">
        <f t="shared" si="34"/>
        <v>46965</v>
      </c>
      <c r="BM25" s="46">
        <f t="shared" si="35"/>
        <v>47118</v>
      </c>
      <c r="BN25" s="47">
        <v>5</v>
      </c>
      <c r="BP25" s="45">
        <f t="shared" si="36"/>
        <v>46919</v>
      </c>
      <c r="BQ25" s="46">
        <f t="shared" si="37"/>
        <v>47024</v>
      </c>
      <c r="BR25" s="47">
        <v>75</v>
      </c>
      <c r="BT25" s="45">
        <f t="shared" si="38"/>
        <v>47025</v>
      </c>
      <c r="BU25" s="46">
        <f t="shared" si="39"/>
        <v>47116</v>
      </c>
      <c r="BV25" s="47">
        <v>3</v>
      </c>
      <c r="BX25" s="45">
        <f t="shared" si="40"/>
        <v>47119</v>
      </c>
      <c r="BY25" s="46">
        <f t="shared" si="4"/>
        <v>47119</v>
      </c>
      <c r="BZ25" s="48">
        <f t="shared" si="5"/>
        <v>0</v>
      </c>
      <c r="CB25" s="50">
        <f t="shared" si="41"/>
        <v>46454</v>
      </c>
      <c r="CC25" s="51">
        <f t="shared" si="42"/>
        <v>46566</v>
      </c>
      <c r="CD25" s="47">
        <v>80</v>
      </c>
      <c r="CF25" s="50">
        <f t="shared" si="43"/>
        <v>46567</v>
      </c>
      <c r="CG25" s="51">
        <f t="shared" si="44"/>
        <v>47116</v>
      </c>
      <c r="CH25" s="47">
        <f t="shared" si="6"/>
        <v>18</v>
      </c>
      <c r="CJ25" s="50">
        <f t="shared" si="45"/>
        <v>47119</v>
      </c>
      <c r="CK25" s="51">
        <f t="shared" si="46"/>
        <v>47119</v>
      </c>
      <c r="CL25" s="47">
        <f t="shared" si="47"/>
        <v>0</v>
      </c>
      <c r="CN25" s="54">
        <v>47120</v>
      </c>
      <c r="CO25" s="55">
        <v>47150</v>
      </c>
      <c r="CQ25" s="50">
        <f t="shared" si="48"/>
        <v>46966</v>
      </c>
      <c r="CR25" s="51">
        <f t="shared" si="49"/>
        <v>47027</v>
      </c>
      <c r="CS25" s="48">
        <v>2</v>
      </c>
      <c r="CT25" s="56"/>
      <c r="CU25" s="50">
        <f t="shared" si="50"/>
        <v>47027</v>
      </c>
      <c r="CV25" s="51">
        <f t="shared" si="51"/>
        <v>47088</v>
      </c>
      <c r="CW25" s="48">
        <v>2</v>
      </c>
      <c r="CX25" s="56"/>
      <c r="CY25" s="50">
        <f t="shared" si="52"/>
        <v>47088</v>
      </c>
      <c r="CZ25" s="51">
        <f t="shared" si="53"/>
        <v>47150</v>
      </c>
      <c r="DA25" s="48">
        <v>2</v>
      </c>
      <c r="DB25" s="56"/>
      <c r="DC25" s="50">
        <f t="shared" si="54"/>
        <v>47150</v>
      </c>
      <c r="DD25" s="51">
        <f t="shared" si="55"/>
        <v>47209</v>
      </c>
      <c r="DE25" s="48">
        <v>2</v>
      </c>
      <c r="DF25" s="57"/>
      <c r="DG25" s="50">
        <f t="shared" si="56"/>
        <v>47209</v>
      </c>
      <c r="DH25" s="51">
        <f t="shared" si="57"/>
        <v>47423</v>
      </c>
      <c r="DI25" s="48">
        <v>7</v>
      </c>
      <c r="DJ25">
        <f t="shared" si="58"/>
        <v>23</v>
      </c>
    </row>
    <row r="26" spans="2:114" x14ac:dyDescent="0.3">
      <c r="B26" s="58" t="s">
        <v>75</v>
      </c>
      <c r="C26" s="58" t="s">
        <v>79</v>
      </c>
      <c r="D26" s="60" t="s">
        <v>53</v>
      </c>
      <c r="F26" s="61">
        <f t="shared" si="7"/>
        <v>46477</v>
      </c>
      <c r="G26" s="62">
        <f t="shared" si="8"/>
        <v>46599</v>
      </c>
      <c r="H26" s="63">
        <v>4</v>
      </c>
      <c r="J26" s="61">
        <f t="shared" si="9"/>
        <v>47148</v>
      </c>
      <c r="K26" s="62">
        <f t="shared" si="59"/>
        <v>47694</v>
      </c>
      <c r="L26" s="63">
        <f t="shared" si="1"/>
        <v>18</v>
      </c>
      <c r="N26" s="61">
        <f t="shared" si="10"/>
        <v>47695</v>
      </c>
      <c r="O26" s="62">
        <f t="shared" si="60"/>
        <v>47695</v>
      </c>
      <c r="P26" s="64">
        <f t="shared" si="3"/>
        <v>0</v>
      </c>
      <c r="Q26" s="49">
        <f t="shared" si="11"/>
        <v>47696</v>
      </c>
      <c r="S26" s="65">
        <f t="shared" si="12"/>
        <v>47017</v>
      </c>
      <c r="T26" s="66">
        <f t="shared" si="13"/>
        <v>47066</v>
      </c>
      <c r="U26" s="63">
        <v>35</v>
      </c>
      <c r="W26" s="61">
        <f t="shared" si="14"/>
        <v>47067</v>
      </c>
      <c r="X26" s="62">
        <f t="shared" si="15"/>
        <v>47151</v>
      </c>
      <c r="Y26" s="63">
        <v>60</v>
      </c>
      <c r="AA26" s="61">
        <f t="shared" si="16"/>
        <v>47154</v>
      </c>
      <c r="AB26" s="62">
        <f t="shared" si="17"/>
        <v>47238</v>
      </c>
      <c r="AC26" s="63">
        <v>60</v>
      </c>
      <c r="AE26" s="61">
        <f t="shared" si="18"/>
        <v>47289</v>
      </c>
      <c r="AF26" s="62">
        <f t="shared" si="19"/>
        <v>47319</v>
      </c>
      <c r="AG26" s="63">
        <v>1</v>
      </c>
      <c r="AI26" s="61">
        <f t="shared" si="20"/>
        <v>47130</v>
      </c>
      <c r="AJ26" s="62">
        <f t="shared" si="21"/>
        <v>47165</v>
      </c>
      <c r="AK26" s="63">
        <v>25</v>
      </c>
      <c r="AM26" s="61">
        <f t="shared" si="22"/>
        <v>47168</v>
      </c>
      <c r="AN26" s="62">
        <f t="shared" si="23"/>
        <v>47252</v>
      </c>
      <c r="AO26" s="63">
        <v>60</v>
      </c>
      <c r="AQ26" s="61">
        <f t="shared" si="24"/>
        <v>47322</v>
      </c>
      <c r="AR26" s="62">
        <f t="shared" si="25"/>
        <v>47463</v>
      </c>
      <c r="AS26" s="67">
        <v>21</v>
      </c>
      <c r="AT26" s="68">
        <v>80</v>
      </c>
      <c r="AV26" s="61">
        <f t="shared" si="26"/>
        <v>47464</v>
      </c>
      <c r="AW26" s="62">
        <f t="shared" si="27"/>
        <v>47676</v>
      </c>
      <c r="AX26" s="63">
        <v>7</v>
      </c>
      <c r="AZ26" s="61">
        <f t="shared" si="28"/>
        <v>47168</v>
      </c>
      <c r="BA26" s="62">
        <f t="shared" si="29"/>
        <v>47210</v>
      </c>
      <c r="BB26" s="63">
        <v>30</v>
      </c>
      <c r="BD26" s="61">
        <f t="shared" si="30"/>
        <v>47211</v>
      </c>
      <c r="BE26" s="62">
        <f t="shared" si="31"/>
        <v>47428</v>
      </c>
      <c r="BF26" s="63">
        <v>155</v>
      </c>
      <c r="BH26" s="61">
        <f t="shared" si="32"/>
        <v>47401</v>
      </c>
      <c r="BI26" s="62">
        <f t="shared" si="33"/>
        <v>47527</v>
      </c>
      <c r="BJ26" s="63">
        <v>90</v>
      </c>
      <c r="BL26" s="61">
        <f t="shared" si="34"/>
        <v>47528</v>
      </c>
      <c r="BM26" s="62">
        <f t="shared" si="35"/>
        <v>47678</v>
      </c>
      <c r="BN26" s="63">
        <v>5</v>
      </c>
      <c r="BP26" s="61">
        <f t="shared" si="36"/>
        <v>47479</v>
      </c>
      <c r="BQ26" s="62">
        <f t="shared" si="37"/>
        <v>47584</v>
      </c>
      <c r="BR26" s="63">
        <v>75</v>
      </c>
      <c r="BT26" s="61">
        <f t="shared" si="38"/>
        <v>47585</v>
      </c>
      <c r="BU26" s="62">
        <f t="shared" si="39"/>
        <v>47676</v>
      </c>
      <c r="BV26" s="63">
        <v>3</v>
      </c>
      <c r="BX26" s="61">
        <f t="shared" si="40"/>
        <v>47679</v>
      </c>
      <c r="BY26" s="62">
        <f t="shared" si="4"/>
        <v>47679</v>
      </c>
      <c r="BZ26" s="64">
        <f t="shared" si="5"/>
        <v>0</v>
      </c>
      <c r="CB26" s="65">
        <f t="shared" si="41"/>
        <v>47017</v>
      </c>
      <c r="CC26" s="66">
        <f t="shared" si="42"/>
        <v>47129</v>
      </c>
      <c r="CD26" s="63">
        <v>80</v>
      </c>
      <c r="CF26" s="65">
        <f t="shared" si="43"/>
        <v>47130</v>
      </c>
      <c r="CG26" s="66">
        <f t="shared" si="44"/>
        <v>47676</v>
      </c>
      <c r="CH26" s="63">
        <f t="shared" si="6"/>
        <v>18</v>
      </c>
      <c r="CJ26" s="65">
        <f t="shared" si="45"/>
        <v>47679</v>
      </c>
      <c r="CK26" s="66">
        <f t="shared" si="46"/>
        <v>47679</v>
      </c>
      <c r="CL26" s="63">
        <f t="shared" si="47"/>
        <v>0</v>
      </c>
      <c r="CN26" s="54">
        <v>47680</v>
      </c>
      <c r="CO26" s="55">
        <v>47696</v>
      </c>
      <c r="CQ26" s="65">
        <f t="shared" si="48"/>
        <v>47515</v>
      </c>
      <c r="CR26" s="66">
        <f t="shared" si="49"/>
        <v>47574</v>
      </c>
      <c r="CS26" s="64">
        <v>2</v>
      </c>
      <c r="CT26" s="56"/>
      <c r="CU26" s="65">
        <f t="shared" si="50"/>
        <v>47574</v>
      </c>
      <c r="CV26" s="66">
        <f t="shared" si="51"/>
        <v>47635</v>
      </c>
      <c r="CW26" s="64">
        <v>2</v>
      </c>
      <c r="CX26" s="56"/>
      <c r="CY26" s="65">
        <f t="shared" si="52"/>
        <v>47635</v>
      </c>
      <c r="CZ26" s="66">
        <f t="shared" si="53"/>
        <v>47696</v>
      </c>
      <c r="DA26" s="64">
        <v>2</v>
      </c>
      <c r="DB26" s="56"/>
      <c r="DC26" s="65">
        <f t="shared" si="54"/>
        <v>47696</v>
      </c>
      <c r="DD26" s="66">
        <f t="shared" si="55"/>
        <v>47757</v>
      </c>
      <c r="DE26" s="64">
        <v>2</v>
      </c>
      <c r="DF26" s="57"/>
      <c r="DG26" s="65">
        <f t="shared" si="56"/>
        <v>47757</v>
      </c>
      <c r="DH26" s="66">
        <f t="shared" si="57"/>
        <v>47969</v>
      </c>
      <c r="DI26" s="64">
        <v>7</v>
      </c>
      <c r="DJ26">
        <f t="shared" si="58"/>
        <v>13</v>
      </c>
    </row>
    <row r="27" spans="2:114" ht="15" thickBot="1" x14ac:dyDescent="0.35">
      <c r="B27" s="69" t="s">
        <v>80</v>
      </c>
      <c r="C27" s="70" t="s">
        <v>81</v>
      </c>
      <c r="D27" s="71" t="s">
        <v>53</v>
      </c>
      <c r="F27" s="72">
        <f t="shared" si="7"/>
        <v>45169</v>
      </c>
      <c r="G27" s="73">
        <f t="shared" si="8"/>
        <v>45291</v>
      </c>
      <c r="H27" s="74">
        <v>4</v>
      </c>
      <c r="I27" s="75"/>
      <c r="J27" s="72">
        <f t="shared" si="9"/>
        <v>45838</v>
      </c>
      <c r="K27" s="73">
        <f t="shared" si="59"/>
        <v>46386</v>
      </c>
      <c r="L27" s="74">
        <f t="shared" si="1"/>
        <v>18</v>
      </c>
      <c r="M27" s="75"/>
      <c r="N27" s="72">
        <f t="shared" si="10"/>
        <v>46387</v>
      </c>
      <c r="O27" s="73">
        <f t="shared" si="60"/>
        <v>46387</v>
      </c>
      <c r="P27" s="76">
        <f t="shared" si="3"/>
        <v>0</v>
      </c>
      <c r="Q27" s="77">
        <f t="shared" si="11"/>
        <v>46388</v>
      </c>
      <c r="S27" s="78">
        <f t="shared" si="12"/>
        <v>45723</v>
      </c>
      <c r="T27" s="79">
        <f t="shared" si="13"/>
        <v>45772</v>
      </c>
      <c r="U27" s="74">
        <v>35</v>
      </c>
      <c r="W27" s="72">
        <f t="shared" si="14"/>
        <v>45775</v>
      </c>
      <c r="X27" s="73">
        <f t="shared" si="15"/>
        <v>45859</v>
      </c>
      <c r="Y27" s="74">
        <v>60</v>
      </c>
      <c r="AA27" s="72">
        <f t="shared" si="16"/>
        <v>45860</v>
      </c>
      <c r="AB27" s="73">
        <f t="shared" si="17"/>
        <v>45944</v>
      </c>
      <c r="AC27" s="74">
        <v>60</v>
      </c>
      <c r="AE27" s="72">
        <f t="shared" si="18"/>
        <v>45998</v>
      </c>
      <c r="AF27" s="73">
        <f t="shared" si="19"/>
        <v>46029</v>
      </c>
      <c r="AG27" s="74">
        <v>1</v>
      </c>
      <c r="AI27" s="72">
        <f t="shared" si="20"/>
        <v>45838</v>
      </c>
      <c r="AJ27" s="73">
        <f t="shared" si="21"/>
        <v>45873</v>
      </c>
      <c r="AK27" s="74">
        <v>25</v>
      </c>
      <c r="AM27" s="72">
        <f t="shared" si="22"/>
        <v>45874</v>
      </c>
      <c r="AN27" s="73">
        <f t="shared" si="23"/>
        <v>45958</v>
      </c>
      <c r="AO27" s="74">
        <v>60</v>
      </c>
      <c r="AQ27" s="72">
        <f t="shared" si="24"/>
        <v>46030</v>
      </c>
      <c r="AR27" s="73">
        <f t="shared" si="25"/>
        <v>46171</v>
      </c>
      <c r="AS27" s="80">
        <v>21</v>
      </c>
      <c r="AT27" s="81">
        <v>80</v>
      </c>
      <c r="AV27" s="72">
        <f t="shared" si="26"/>
        <v>46172</v>
      </c>
      <c r="AW27" s="73">
        <f t="shared" si="27"/>
        <v>46386</v>
      </c>
      <c r="AX27" s="74">
        <v>7</v>
      </c>
      <c r="AZ27" s="72">
        <f t="shared" si="28"/>
        <v>45874</v>
      </c>
      <c r="BA27" s="73">
        <f t="shared" si="29"/>
        <v>45916</v>
      </c>
      <c r="BB27" s="74">
        <v>30</v>
      </c>
      <c r="BD27" s="82">
        <f t="shared" si="30"/>
        <v>45917</v>
      </c>
      <c r="BE27" s="83">
        <f t="shared" si="31"/>
        <v>46134</v>
      </c>
      <c r="BF27" s="84">
        <v>155</v>
      </c>
      <c r="BH27" s="72">
        <f t="shared" si="32"/>
        <v>46106</v>
      </c>
      <c r="BI27" s="73">
        <f t="shared" si="33"/>
        <v>46232</v>
      </c>
      <c r="BJ27" s="74">
        <v>90</v>
      </c>
      <c r="BL27" s="72">
        <f t="shared" si="34"/>
        <v>46233</v>
      </c>
      <c r="BM27" s="73">
        <f t="shared" si="35"/>
        <v>46386</v>
      </c>
      <c r="BN27" s="74">
        <v>5</v>
      </c>
      <c r="BP27" s="72">
        <f t="shared" si="36"/>
        <v>46189</v>
      </c>
      <c r="BQ27" s="73">
        <f t="shared" si="37"/>
        <v>46294</v>
      </c>
      <c r="BR27" s="74">
        <v>75</v>
      </c>
      <c r="BT27" s="72">
        <f t="shared" si="38"/>
        <v>46295</v>
      </c>
      <c r="BU27" s="73">
        <f t="shared" si="39"/>
        <v>46386</v>
      </c>
      <c r="BV27" s="74">
        <v>3</v>
      </c>
      <c r="BX27" s="72">
        <f t="shared" si="40"/>
        <v>46387</v>
      </c>
      <c r="BY27" s="73">
        <f t="shared" si="4"/>
        <v>46387</v>
      </c>
      <c r="BZ27" s="76">
        <f t="shared" si="5"/>
        <v>0</v>
      </c>
      <c r="CB27" s="78">
        <f t="shared" si="41"/>
        <v>45723</v>
      </c>
      <c r="CC27" s="79">
        <f t="shared" si="42"/>
        <v>45835</v>
      </c>
      <c r="CD27" s="74">
        <v>80</v>
      </c>
      <c r="CF27" s="78">
        <f t="shared" si="43"/>
        <v>45838</v>
      </c>
      <c r="CG27" s="79">
        <f t="shared" si="44"/>
        <v>46386</v>
      </c>
      <c r="CH27" s="74">
        <f t="shared" si="6"/>
        <v>18</v>
      </c>
      <c r="CJ27" s="78">
        <f t="shared" si="45"/>
        <v>46387</v>
      </c>
      <c r="CK27" s="79">
        <f t="shared" si="46"/>
        <v>46387</v>
      </c>
      <c r="CL27" s="74">
        <f t="shared" si="47"/>
        <v>0</v>
      </c>
      <c r="CN27" s="85">
        <v>46388</v>
      </c>
      <c r="CO27" s="86">
        <v>46388</v>
      </c>
      <c r="CQ27" s="78">
        <f t="shared" si="48"/>
        <v>46204</v>
      </c>
      <c r="CR27" s="79">
        <f t="shared" si="49"/>
        <v>46266</v>
      </c>
      <c r="CS27" s="76">
        <v>2</v>
      </c>
      <c r="CT27" s="87"/>
      <c r="CU27" s="78">
        <f t="shared" si="50"/>
        <v>46266</v>
      </c>
      <c r="CV27" s="79">
        <f t="shared" si="51"/>
        <v>46327</v>
      </c>
      <c r="CW27" s="76">
        <v>2</v>
      </c>
      <c r="CX27" s="87"/>
      <c r="CY27" s="78">
        <f t="shared" si="52"/>
        <v>46327</v>
      </c>
      <c r="CZ27" s="79">
        <f t="shared" si="53"/>
        <v>46388</v>
      </c>
      <c r="DA27" s="76">
        <v>2</v>
      </c>
      <c r="DB27" s="87"/>
      <c r="DC27" s="78">
        <f t="shared" si="54"/>
        <v>46388</v>
      </c>
      <c r="DD27" s="79">
        <f t="shared" si="55"/>
        <v>46447</v>
      </c>
      <c r="DE27" s="76">
        <v>2</v>
      </c>
      <c r="DF27" s="88"/>
      <c r="DG27" s="78">
        <f t="shared" si="56"/>
        <v>46447</v>
      </c>
      <c r="DH27" s="79">
        <f t="shared" si="57"/>
        <v>46661</v>
      </c>
      <c r="DI27" s="76">
        <v>7</v>
      </c>
      <c r="DJ27">
        <f t="shared" si="58"/>
        <v>-1</v>
      </c>
    </row>
    <row r="28" spans="2:114" ht="4.5" customHeight="1" x14ac:dyDescent="0.3">
      <c r="BD28" s="90"/>
      <c r="BE28" s="91"/>
      <c r="BF28" s="92"/>
      <c r="DJ28">
        <f t="shared" si="58"/>
        <v>0</v>
      </c>
    </row>
    <row r="29" spans="2:114" x14ac:dyDescent="0.3">
      <c r="B29"/>
      <c r="C29"/>
    </row>
    <row r="30" spans="2:114" x14ac:dyDescent="0.3">
      <c r="B30"/>
      <c r="C30"/>
      <c r="F30" s="93" t="s">
        <v>82</v>
      </c>
      <c r="J30" s="94" t="s">
        <v>83</v>
      </c>
      <c r="N30" s="95" t="s">
        <v>84</v>
      </c>
      <c r="S30" s="96" t="s">
        <v>85</v>
      </c>
      <c r="W30" s="94" t="s">
        <v>83</v>
      </c>
      <c r="AA30" s="96" t="s">
        <v>85</v>
      </c>
      <c r="AE30" s="97" t="s">
        <v>86</v>
      </c>
      <c r="AI30" s="96" t="s">
        <v>85</v>
      </c>
      <c r="AM30" s="94" t="s">
        <v>83</v>
      </c>
      <c r="AQ30" s="96" t="s">
        <v>85</v>
      </c>
      <c r="AV30" s="97" t="s">
        <v>86</v>
      </c>
      <c r="AZ30" s="96" t="s">
        <v>85</v>
      </c>
      <c r="BD30" s="94" t="s">
        <v>83</v>
      </c>
      <c r="BH30" s="96" t="s">
        <v>85</v>
      </c>
      <c r="BL30" s="97" t="s">
        <v>86</v>
      </c>
      <c r="BP30" s="96" t="s">
        <v>85</v>
      </c>
      <c r="BT30" s="94" t="s">
        <v>83</v>
      </c>
      <c r="BX30" s="96" t="s">
        <v>85</v>
      </c>
      <c r="CB30" s="97" t="s">
        <v>86</v>
      </c>
      <c r="CF30" s="98" t="s">
        <v>87</v>
      </c>
      <c r="CJ30" s="95" t="s">
        <v>84</v>
      </c>
      <c r="CN30" s="99" t="s">
        <v>88</v>
      </c>
      <c r="CO30" s="100" t="s">
        <v>89</v>
      </c>
    </row>
    <row r="31" spans="2:114" x14ac:dyDescent="0.3">
      <c r="B31"/>
      <c r="C31"/>
    </row>
    <row r="32" spans="2:114" x14ac:dyDescent="0.3">
      <c r="B32"/>
      <c r="C32"/>
    </row>
    <row r="33" spans="2:14" x14ac:dyDescent="0.3">
      <c r="B33"/>
      <c r="C33"/>
    </row>
    <row r="34" spans="2:14" x14ac:dyDescent="0.3">
      <c r="B34"/>
      <c r="C34"/>
    </row>
    <row r="35" spans="2:14" ht="39" customHeight="1" x14ac:dyDescent="0.3">
      <c r="B35"/>
      <c r="C35"/>
    </row>
    <row r="36" spans="2:14" x14ac:dyDescent="0.3">
      <c r="B36"/>
      <c r="C36"/>
    </row>
    <row r="37" spans="2:14" x14ac:dyDescent="0.3">
      <c r="B37"/>
      <c r="C37"/>
    </row>
    <row r="38" spans="2:14" x14ac:dyDescent="0.3">
      <c r="B38"/>
      <c r="C38"/>
    </row>
    <row r="39" spans="2:14" x14ac:dyDescent="0.3">
      <c r="B39"/>
      <c r="C39"/>
    </row>
    <row r="40" spans="2:14" x14ac:dyDescent="0.3">
      <c r="B40"/>
      <c r="C40"/>
    </row>
    <row r="41" spans="2:14" x14ac:dyDescent="0.3">
      <c r="B41"/>
      <c r="C41"/>
      <c r="N41" t="s">
        <v>90</v>
      </c>
    </row>
    <row r="42" spans="2:14" x14ac:dyDescent="0.3">
      <c r="B42"/>
      <c r="C42"/>
    </row>
    <row r="43" spans="2:14" x14ac:dyDescent="0.3">
      <c r="B43"/>
      <c r="C43"/>
    </row>
    <row r="44" spans="2:14" x14ac:dyDescent="0.3">
      <c r="B44"/>
      <c r="C44"/>
    </row>
    <row r="45" spans="2:14" x14ac:dyDescent="0.3">
      <c r="B45"/>
      <c r="C45"/>
    </row>
  </sheetData>
  <mergeCells count="35">
    <mergeCell ref="CF1:CN1"/>
    <mergeCell ref="CQ1:DI1"/>
    <mergeCell ref="C2:D2"/>
    <mergeCell ref="F2:H2"/>
    <mergeCell ref="J2:L2"/>
    <mergeCell ref="N2:P2"/>
    <mergeCell ref="S2:U2"/>
    <mergeCell ref="W2:Y2"/>
    <mergeCell ref="AA2:AC2"/>
    <mergeCell ref="AE2:AG2"/>
    <mergeCell ref="B1:O1"/>
    <mergeCell ref="S1:AG1"/>
    <mergeCell ref="AI1:AX1"/>
    <mergeCell ref="AZ1:BN1"/>
    <mergeCell ref="BO1:BV1"/>
    <mergeCell ref="BX1:BZ1"/>
    <mergeCell ref="CB2:CD2"/>
    <mergeCell ref="AI2:AK2"/>
    <mergeCell ref="AM2:AO2"/>
    <mergeCell ref="AQ2:AT2"/>
    <mergeCell ref="AV2:AX2"/>
    <mergeCell ref="AZ2:BB2"/>
    <mergeCell ref="BD2:BF2"/>
    <mergeCell ref="BH2:BJ2"/>
    <mergeCell ref="BL2:BN2"/>
    <mergeCell ref="BP2:BR2"/>
    <mergeCell ref="BT2:BV2"/>
    <mergeCell ref="BX2:BZ2"/>
    <mergeCell ref="DG2:DI2"/>
    <mergeCell ref="CF2:CH2"/>
    <mergeCell ref="CJ2:CL2"/>
    <mergeCell ref="CQ2:CS2"/>
    <mergeCell ref="CU2:CW2"/>
    <mergeCell ref="CY2:DA2"/>
    <mergeCell ref="DC2:DE2"/>
  </mergeCells>
  <conditionalFormatting sqref="J5:J27">
    <cfRule type="cellIs" dxfId="13" priority="19" operator="lessThan">
      <formula>$Q$1</formula>
    </cfRule>
  </conditionalFormatting>
  <conditionalFormatting sqref="S5:T27 W5:X27">
    <cfRule type="cellIs" dxfId="12" priority="16" operator="lessThan">
      <formula>TODAY()</formula>
    </cfRule>
  </conditionalFormatting>
  <conditionalFormatting sqref="AA5:AB27">
    <cfRule type="cellIs" dxfId="11" priority="6" operator="lessThan">
      <formula>TODAY()</formula>
    </cfRule>
  </conditionalFormatting>
  <conditionalFormatting sqref="AE5:AF27 AQ5:AR27 AV5:AW27 BH5:BI27 BL5:BM27 BP5:BQ27 BT5:BU27 BX5:BY27">
    <cfRule type="cellIs" dxfId="10" priority="18" operator="lessThan">
      <formula>TODAY()</formula>
    </cfRule>
  </conditionalFormatting>
  <conditionalFormatting sqref="AI5:AJ27">
    <cfRule type="cellIs" dxfId="9" priority="15" operator="lessThan">
      <formula>TODAY()</formula>
    </cfRule>
  </conditionalFormatting>
  <conditionalFormatting sqref="AM5:AN27">
    <cfRule type="cellIs" dxfId="8" priority="14" operator="lessThan">
      <formula>TODAY()</formula>
    </cfRule>
  </conditionalFormatting>
  <conditionalFormatting sqref="AZ5:BA27">
    <cfRule type="cellIs" dxfId="7" priority="13" operator="lessThan">
      <formula>TODAY()</formula>
    </cfRule>
  </conditionalFormatting>
  <conditionalFormatting sqref="BD5:BE27">
    <cfRule type="cellIs" dxfId="6" priority="5" operator="lessThan">
      <formula>TODAY()</formula>
    </cfRule>
  </conditionalFormatting>
  <conditionalFormatting sqref="CB5:CC27">
    <cfRule type="cellIs" dxfId="5" priority="7" operator="lessThan">
      <formula>TODAY()</formula>
    </cfRule>
  </conditionalFormatting>
  <conditionalFormatting sqref="CF5:CG27">
    <cfRule type="cellIs" dxfId="4" priority="9" operator="lessThan">
      <formula>TODAY()</formula>
    </cfRule>
  </conditionalFormatting>
  <conditionalFormatting sqref="CJ5:CK27">
    <cfRule type="cellIs" dxfId="3" priority="10" operator="lessThan">
      <formula>TODAY()</formula>
    </cfRule>
  </conditionalFormatting>
  <conditionalFormatting sqref="CQ5:CR27">
    <cfRule type="cellIs" dxfId="2" priority="1" operator="lessThan">
      <formula>TODAY()</formula>
    </cfRule>
  </conditionalFormatting>
  <conditionalFormatting sqref="CU5:CV27 CY5:CZ27 DC5:DD27">
    <cfRule type="cellIs" dxfId="1" priority="4" operator="lessThan">
      <formula>TODAY()</formula>
    </cfRule>
  </conditionalFormatting>
  <conditionalFormatting sqref="DF5:DH27">
    <cfRule type="cellIs" dxfId="0" priority="3" operator="lessThan">
      <formula>TODAY()</formula>
    </cfRule>
  </conditionalFormatting>
  <conditionalFormatting sqref="DJ5:DJ2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1">
    <dataValidation type="list" allowBlank="1" showInputMessage="1" showErrorMessage="1" sqref="DJ1" xr:uid="{6D407BD8-A5F7-4DFA-8D5D-7094A4CB41AB}">
      <formula1>$DS$3:$DS$4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+ Project VMP01</dc:creator>
  <cp:lastModifiedBy>Office + Project VMP01</cp:lastModifiedBy>
  <dcterms:created xsi:type="dcterms:W3CDTF">2026-02-09T18:26:33Z</dcterms:created>
  <dcterms:modified xsi:type="dcterms:W3CDTF">2026-02-24T13:07:54Z</dcterms:modified>
</cp:coreProperties>
</file>